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2275" windowHeight="10845" tabRatio="500"/>
  </bookViews>
  <sheets>
    <sheet name="테스트 케이스" sheetId="1" r:id="rId1"/>
    <sheet name="요약" sheetId="2" r:id="rId2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8" i="2" l="1"/>
  <c r="E17" i="2"/>
  <c r="E16" i="2"/>
  <c r="E15" i="2"/>
  <c r="E14" i="2"/>
  <c r="E13" i="2"/>
  <c r="E12" i="2"/>
  <c r="E11" i="2"/>
  <c r="E10" i="2"/>
  <c r="E9" i="2"/>
  <c r="E8" i="2"/>
  <c r="B8" i="2"/>
  <c r="E7" i="2"/>
  <c r="B7" i="2"/>
  <c r="E6" i="2"/>
  <c r="B6" i="2"/>
  <c r="E5" i="2"/>
  <c r="B5" i="2"/>
  <c r="E4" i="2"/>
  <c r="B4" i="2"/>
  <c r="E3" i="2"/>
  <c r="B3" i="2"/>
  <c r="B11" i="2" l="1"/>
</calcChain>
</file>

<file path=xl/sharedStrings.xml><?xml version="1.0" encoding="utf-8"?>
<sst xmlns="http://schemas.openxmlformats.org/spreadsheetml/2006/main" count="492" uniqueCount="313">
  <si>
    <r>
      <rPr>
        <b/>
        <sz val="16"/>
        <color rgb="FF1F3B57"/>
        <rFont val="Arial"/>
        <family val="2"/>
      </rPr>
      <t xml:space="preserve">POTATO SURVIVORS — QA </t>
    </r>
    <r>
      <rPr>
        <b/>
        <sz val="16"/>
        <color rgb="FF1F3B57"/>
        <rFont val="Noto Sans CJK SC"/>
        <family val="2"/>
      </rPr>
      <t>테스트 케이스</t>
    </r>
  </si>
  <si>
    <r>
      <rPr>
        <i/>
        <sz val="9"/>
        <color rgb="FF555555"/>
        <rFont val="Noto Sans CJK SC"/>
        <family val="2"/>
      </rPr>
      <t>채워 넣을 칸</t>
    </r>
    <r>
      <rPr>
        <i/>
        <sz val="9"/>
        <color rgb="FF555555"/>
        <rFont val="Arial"/>
        <family val="2"/>
      </rPr>
      <t>: [</t>
    </r>
    <r>
      <rPr>
        <i/>
        <sz val="9"/>
        <color rgb="FF555555"/>
        <rFont val="Noto Sans CJK SC"/>
        <family val="2"/>
      </rPr>
      <t>실제 결과</t>
    </r>
    <r>
      <rPr>
        <i/>
        <sz val="9"/>
        <color rgb="FF555555"/>
        <rFont val="Arial"/>
        <family val="2"/>
      </rPr>
      <t>] [</t>
    </r>
    <r>
      <rPr>
        <i/>
        <sz val="9"/>
        <color rgb="FF555555"/>
        <rFont val="Noto Sans CJK SC"/>
        <family val="2"/>
      </rPr>
      <t>결과</t>
    </r>
    <r>
      <rPr>
        <i/>
        <sz val="9"/>
        <color rgb="FF555555"/>
        <rFont val="Arial"/>
        <family val="2"/>
      </rPr>
      <t>: Pass/Fail/N/A/</t>
    </r>
    <r>
      <rPr>
        <i/>
        <sz val="9"/>
        <color rgb="FF555555"/>
        <rFont val="Noto Sans CJK SC"/>
        <family val="2"/>
      </rPr>
      <t>보류 드롭다운</t>
    </r>
    <r>
      <rPr>
        <i/>
        <sz val="9"/>
        <color rgb="FF555555"/>
        <rFont val="Arial"/>
        <family val="2"/>
      </rPr>
      <t>] [</t>
    </r>
    <r>
      <rPr>
        <i/>
        <sz val="9"/>
        <color rgb="FF555555"/>
        <rFont val="Noto Sans CJK SC"/>
        <family val="2"/>
      </rPr>
      <t>비고</t>
    </r>
    <r>
      <rPr>
        <i/>
        <sz val="9"/>
        <color rgb="FF555555"/>
        <rFont val="Arial"/>
        <family val="2"/>
      </rPr>
      <t xml:space="preserve">].  </t>
    </r>
    <r>
      <rPr>
        <i/>
        <sz val="9"/>
        <color rgb="FF555555"/>
        <rFont val="Noto Sans CJK SC"/>
        <family val="2"/>
      </rPr>
      <t>나머지는 명세이므로 수정하지 마세요</t>
    </r>
    <r>
      <rPr>
        <i/>
        <sz val="9"/>
        <color rgb="FF555555"/>
        <rFont val="Arial"/>
        <family val="2"/>
      </rPr>
      <t xml:space="preserve">.  </t>
    </r>
    <r>
      <rPr>
        <i/>
        <sz val="9"/>
        <color rgb="FF555555"/>
        <rFont val="Noto Sans CJK SC"/>
        <family val="2"/>
      </rPr>
      <t xml:space="preserve">결과는 </t>
    </r>
    <r>
      <rPr>
        <i/>
        <sz val="9"/>
        <color rgb="FF555555"/>
        <rFont val="Arial"/>
        <family val="2"/>
      </rPr>
      <t>'</t>
    </r>
    <r>
      <rPr>
        <i/>
        <sz val="9"/>
        <color rgb="FF555555"/>
        <rFont val="Noto Sans CJK SC"/>
        <family val="2"/>
      </rPr>
      <t>요약</t>
    </r>
    <r>
      <rPr>
        <i/>
        <sz val="9"/>
        <color rgb="FF555555"/>
        <rFont val="Arial"/>
        <family val="2"/>
      </rPr>
      <t xml:space="preserve">' </t>
    </r>
    <r>
      <rPr>
        <i/>
        <sz val="9"/>
        <color rgb="FF555555"/>
        <rFont val="Noto Sans CJK SC"/>
        <family val="2"/>
      </rPr>
      <t>시트에서 자동 집계됩니다</t>
    </r>
    <r>
      <rPr>
        <i/>
        <sz val="9"/>
        <color rgb="FF555555"/>
        <rFont val="Arial"/>
        <family val="2"/>
      </rPr>
      <t>.</t>
    </r>
  </si>
  <si>
    <t>TC ID</t>
  </si>
  <si>
    <t>대분류</t>
  </si>
  <si>
    <t>테스트 항목</t>
  </si>
  <si>
    <t>사전조건</t>
  </si>
  <si>
    <t>테스트 절차</t>
  </si>
  <si>
    <t>기대 결과</t>
  </si>
  <si>
    <t>실제 결과</t>
  </si>
  <si>
    <t>결과</t>
  </si>
  <si>
    <t>비고</t>
  </si>
  <si>
    <t>예시</t>
  </si>
  <si>
    <t>전투</t>
  </si>
  <si>
    <t>근접 자동공격</t>
  </si>
  <si>
    <r>
      <rPr>
        <i/>
        <sz val="10"/>
        <color rgb="FF777777"/>
        <rFont val="Noto Sans CJK SC"/>
        <family val="2"/>
      </rPr>
      <t>근접 무기 장착</t>
    </r>
    <r>
      <rPr>
        <i/>
        <sz val="10"/>
        <color rgb="FF777777"/>
        <rFont val="Arial"/>
        <family val="2"/>
      </rPr>
      <t>·</t>
    </r>
    <r>
      <rPr>
        <i/>
        <sz val="10"/>
        <color rgb="FF777777"/>
        <rFont val="Noto Sans CJK SC"/>
        <family val="2"/>
      </rPr>
      <t>적 존재</t>
    </r>
  </si>
  <si>
    <t>적이 감지 범위에 진입</t>
  </si>
  <si>
    <t>자동 스핀 공격으로 적에게 피해</t>
  </si>
  <si>
    <t>정상 작동함</t>
  </si>
  <si>
    <t>Pass</t>
  </si>
  <si>
    <t>프레임 드랍 없음</t>
  </si>
  <si>
    <t>TC-001</t>
  </si>
  <si>
    <t>로비</t>
  </si>
  <si>
    <t>게임 최초 실행</t>
  </si>
  <si>
    <t>게임을 처음 실행</t>
  </si>
  <si>
    <r>
      <rPr>
        <sz val="10"/>
        <rFont val="Noto Sans CJK SC"/>
        <family val="2"/>
      </rPr>
      <t>에디터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빌드로 게임 실행</t>
    </r>
  </si>
  <si>
    <r>
      <rPr>
        <sz val="10"/>
        <rFont val="Arial"/>
        <family val="2"/>
      </rPr>
      <t xml:space="preserve">MainMenu </t>
    </r>
    <r>
      <rPr>
        <sz val="10"/>
        <rFont val="Noto Sans CJK SC"/>
        <family val="2"/>
      </rPr>
      <t>씬이 먼저 표시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타이틀 로고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 xml:space="preserve">무기 </t>
    </r>
    <r>
      <rPr>
        <sz val="10"/>
        <rFont val="Arial"/>
        <family val="2"/>
      </rPr>
      <t>6</t>
    </r>
    <r>
      <rPr>
        <sz val="10"/>
        <rFont val="Noto Sans CJK SC"/>
        <family val="2"/>
      </rPr>
      <t>종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시작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종료 버튼</t>
    </r>
    <r>
      <rPr>
        <sz val="10"/>
        <rFont val="Arial"/>
        <family val="2"/>
      </rPr>
      <t>)</t>
    </r>
  </si>
  <si>
    <t>TC-002</t>
  </si>
  <si>
    <t>무기 선택</t>
  </si>
  <si>
    <t>로비 화면</t>
  </si>
  <si>
    <t>무기 카드 클릭</t>
  </si>
  <si>
    <r>
      <rPr>
        <sz val="10"/>
        <rFont val="Noto Sans CJK SC"/>
        <family val="2"/>
      </rPr>
      <t xml:space="preserve">선택 카드가 노란색 하이라이트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>하단에 선택 무기 정보 표시</t>
    </r>
  </si>
  <si>
    <t>TC-003</t>
  </si>
  <si>
    <t>게임 시작</t>
  </si>
  <si>
    <r>
      <rPr>
        <sz val="10"/>
        <rFont val="Noto Sans CJK SC"/>
        <family val="2"/>
      </rPr>
      <t xml:space="preserve">무기 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개 선택</t>
    </r>
  </si>
  <si>
    <r>
      <rPr>
        <sz val="10"/>
        <rFont val="Arial"/>
        <family val="2"/>
      </rPr>
      <t>'</t>
    </r>
    <r>
      <rPr>
        <sz val="10"/>
        <rFont val="Noto Sans CJK SC"/>
        <family val="2"/>
      </rPr>
      <t>게임 시작</t>
    </r>
    <r>
      <rPr>
        <sz val="10"/>
        <rFont val="Arial"/>
        <family val="2"/>
      </rPr>
      <t xml:space="preserve">' </t>
    </r>
    <r>
      <rPr>
        <sz val="10"/>
        <rFont val="Noto Sans CJK SC"/>
        <family val="2"/>
      </rPr>
      <t>클릭</t>
    </r>
  </si>
  <si>
    <r>
      <rPr>
        <sz val="10"/>
        <rFont val="Noto Sans CJK SC"/>
        <family val="2"/>
      </rPr>
      <t xml:space="preserve">게임 씬 진입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>선택 무기를 장착한 상태로 시작</t>
    </r>
  </si>
  <si>
    <t>TC-004</t>
  </si>
  <si>
    <t>무기 미선택 시작</t>
  </si>
  <si>
    <t>무기 미선택</t>
  </si>
  <si>
    <r>
      <rPr>
        <sz val="10"/>
        <rFont val="Noto Sans CJK SC"/>
        <family val="2"/>
      </rPr>
      <t>크래시 없이 시작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기본 무기 또는 빈손</t>
    </r>
    <r>
      <rPr>
        <sz val="10"/>
        <rFont val="Arial"/>
        <family val="2"/>
      </rPr>
      <t>)</t>
    </r>
  </si>
  <si>
    <t>TC-005</t>
  </si>
  <si>
    <t>종료</t>
  </si>
  <si>
    <r>
      <rPr>
        <sz val="10"/>
        <rFont val="Arial"/>
        <family val="2"/>
      </rPr>
      <t>'</t>
    </r>
    <r>
      <rPr>
        <sz val="10"/>
        <rFont val="Noto Sans CJK SC"/>
        <family val="2"/>
      </rPr>
      <t>종료</t>
    </r>
    <r>
      <rPr>
        <sz val="10"/>
        <rFont val="Arial"/>
        <family val="2"/>
      </rPr>
      <t xml:space="preserve">' </t>
    </r>
    <r>
      <rPr>
        <sz val="10"/>
        <rFont val="Noto Sans CJK SC"/>
        <family val="2"/>
      </rPr>
      <t>클릭</t>
    </r>
  </si>
  <si>
    <r>
      <rPr>
        <sz val="10"/>
        <rFont val="Noto Sans CJK SC"/>
        <family val="2"/>
      </rPr>
      <t>게임 종료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에디터는 플레이 모드 중지</t>
    </r>
    <r>
      <rPr>
        <sz val="10"/>
        <rFont val="Arial"/>
        <family val="2"/>
      </rPr>
      <t>)</t>
    </r>
  </si>
  <si>
    <t>TC-006</t>
  </si>
  <si>
    <t>이동</t>
  </si>
  <si>
    <t>기본 이동</t>
  </si>
  <si>
    <t>게임 진행 중</t>
  </si>
  <si>
    <r>
      <rPr>
        <sz val="10"/>
        <rFont val="Arial"/>
        <family val="2"/>
      </rPr>
      <t>WASD/</t>
    </r>
    <r>
      <rPr>
        <sz val="10"/>
        <rFont val="Noto Sans CJK SC"/>
        <family val="2"/>
      </rPr>
      <t>방향키 입력</t>
    </r>
  </si>
  <si>
    <t>플레이어가 해당 방향으로 이동</t>
  </si>
  <si>
    <t>TC-007</t>
  </si>
  <si>
    <t>화면 경계</t>
  </si>
  <si>
    <t>플레이어를 화면 끝으로</t>
  </si>
  <si>
    <t>화면 밖으로 계속 이동 시도</t>
  </si>
  <si>
    <t>카메라 화면 경계를 벗어나지 않음</t>
  </si>
  <si>
    <t>TC-008</t>
  </si>
  <si>
    <r>
      <rPr>
        <sz val="10"/>
        <rFont val="Noto Sans CJK SC"/>
        <family val="2"/>
      </rPr>
      <t>근접 무기 장착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적 존재</t>
    </r>
  </si>
  <si>
    <t>무기가 자동 스핀 공격하여 적에게 피해</t>
  </si>
  <si>
    <t>TC-009</t>
  </si>
  <si>
    <t>원거리 발사</t>
  </si>
  <si>
    <r>
      <rPr>
        <sz val="10"/>
        <rFont val="Noto Sans CJK SC"/>
        <family val="2"/>
      </rPr>
      <t>원거리 무기 장착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적 존재</t>
    </r>
  </si>
  <si>
    <t>적 감지</t>
  </si>
  <si>
    <t>투사체가 적 방향으로 발사되어 피해</t>
  </si>
  <si>
    <t>TC-010</t>
  </si>
  <si>
    <t>샷건 산탄</t>
  </si>
  <si>
    <t>샷건 장착</t>
  </si>
  <si>
    <t>공격 발동</t>
  </si>
  <si>
    <r>
      <rPr>
        <sz val="10"/>
        <rFont val="Noto Sans CJK SC"/>
        <family val="2"/>
      </rPr>
      <t xml:space="preserve">투사체 </t>
    </r>
    <r>
      <rPr>
        <sz val="10"/>
        <rFont val="Arial"/>
        <family val="2"/>
      </rPr>
      <t>5</t>
    </r>
    <r>
      <rPr>
        <sz val="10"/>
        <rFont val="Noto Sans CJK SC"/>
        <family val="2"/>
      </rPr>
      <t>발이 부채꼴로 발사</t>
    </r>
  </si>
  <si>
    <t>TC-011</t>
  </si>
  <si>
    <t>쿨다운</t>
  </si>
  <si>
    <t>공격 직후</t>
  </si>
  <si>
    <t>쿨다운 시간 대기</t>
  </si>
  <si>
    <t>쿨다운 경과 후 다음 공격 발동</t>
  </si>
  <si>
    <t>TC-012</t>
  </si>
  <si>
    <t>적 없음</t>
  </si>
  <si>
    <t>주변에 적 없음</t>
  </si>
  <si>
    <t>대기</t>
  </si>
  <si>
    <r>
      <rPr>
        <sz val="10"/>
        <rFont val="Noto Sans CJK SC"/>
        <family val="2"/>
      </rPr>
      <t>무기가 공격하지 않음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투사체 낭비 없음</t>
    </r>
    <r>
      <rPr>
        <sz val="10"/>
        <rFont val="Arial"/>
        <family val="2"/>
      </rPr>
      <t>)</t>
    </r>
  </si>
  <si>
    <t>TC-013</t>
  </si>
  <si>
    <t>관통</t>
  </si>
  <si>
    <r>
      <rPr>
        <sz val="10"/>
        <rFont val="Noto Sans CJK SC"/>
        <family val="2"/>
      </rPr>
      <t>관통 무기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석궁 등</t>
    </r>
    <r>
      <rPr>
        <sz val="10"/>
        <rFont val="Arial"/>
        <family val="2"/>
      </rPr>
      <t>)</t>
    </r>
  </si>
  <si>
    <t>투사체가 적 명중</t>
  </si>
  <si>
    <t>지정 관통 수만큼 적을 통과하며 타격</t>
  </si>
  <si>
    <t>TC-014</t>
  </si>
  <si>
    <t>몬스터</t>
  </si>
  <si>
    <t>스폰 위치</t>
  </si>
  <si>
    <t>웨이브 시작</t>
  </si>
  <si>
    <t>웨이브 개시</t>
  </si>
  <si>
    <t>몬스터가 화면 안 영역에 스폰</t>
  </si>
  <si>
    <t>TC-015</t>
  </si>
  <si>
    <t>추격</t>
  </si>
  <si>
    <t>몬스터 스폰됨</t>
  </si>
  <si>
    <t>시간 경과</t>
  </si>
  <si>
    <t>몬스터가 플레이어를 추격</t>
  </si>
  <si>
    <t>TC-016</t>
  </si>
  <si>
    <t>근접 공격</t>
  </si>
  <si>
    <t>몬스터가 플레이어에 접촉</t>
  </si>
  <si>
    <t>접촉 유지</t>
  </si>
  <si>
    <r>
      <rPr>
        <sz val="10"/>
        <rFont val="Noto Sans CJK SC"/>
        <family val="2"/>
      </rPr>
      <t xml:space="preserve">플레이어 </t>
    </r>
    <r>
      <rPr>
        <sz val="10"/>
        <rFont val="Arial"/>
        <family val="2"/>
      </rPr>
      <t xml:space="preserve">HP </t>
    </r>
    <r>
      <rPr>
        <sz val="10"/>
        <rFont val="Noto Sans CJK SC"/>
        <family val="2"/>
      </rPr>
      <t>감소</t>
    </r>
  </si>
  <si>
    <t>TC-017</t>
  </si>
  <si>
    <t>원거리 몬스터</t>
  </si>
  <si>
    <t>원거리 몬스터 존재</t>
  </si>
  <si>
    <t>사거리 내 플레이어</t>
  </si>
  <si>
    <r>
      <rPr>
        <sz val="10"/>
        <rFont val="Noto Sans CJK SC"/>
        <family val="2"/>
      </rPr>
      <t>몬스터가 플레이어에게 투사체 발사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플레이어만 피격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몬스터끼리 </t>
    </r>
    <r>
      <rPr>
        <sz val="10"/>
        <rFont val="Arial"/>
        <family val="2"/>
      </rPr>
      <t>X)</t>
    </r>
  </si>
  <si>
    <t>TC-018</t>
  </si>
  <si>
    <t>보스</t>
  </si>
  <si>
    <t>등장 주기</t>
  </si>
  <si>
    <t>스테이지 진행</t>
  </si>
  <si>
    <r>
      <rPr>
        <sz val="10"/>
        <rFont val="Arial"/>
        <family val="2"/>
      </rPr>
      <t>5</t>
    </r>
    <r>
      <rPr>
        <sz val="10"/>
        <rFont val="Noto Sans CJK SC"/>
        <family val="2"/>
      </rPr>
      <t>스테이지 도달</t>
    </r>
  </si>
  <si>
    <r>
      <rPr>
        <sz val="10"/>
        <rFont val="Noto Sans CJK SC"/>
        <family val="2"/>
      </rPr>
      <t>보스가 등장</t>
    </r>
    <r>
      <rPr>
        <sz val="10"/>
        <rFont val="Arial"/>
        <family val="2"/>
      </rPr>
      <t>(2</t>
    </r>
    <r>
      <rPr>
        <sz val="10"/>
        <rFont val="Noto Sans CJK SC"/>
        <family val="2"/>
      </rPr>
      <t>라운드에는 안 나옴</t>
    </r>
    <r>
      <rPr>
        <sz val="10"/>
        <rFont val="Arial"/>
        <family val="2"/>
      </rPr>
      <t>)</t>
    </r>
  </si>
  <si>
    <t>TC-019</t>
  </si>
  <si>
    <t>처치 보상</t>
  </si>
  <si>
    <t>몬스터에 피해 누적</t>
  </si>
  <si>
    <t>몬스터 처치</t>
  </si>
  <si>
    <t>코인이 드랍됨</t>
  </si>
  <si>
    <t>TC-020</t>
  </si>
  <si>
    <t>웨이브</t>
  </si>
  <si>
    <t>시간 종료</t>
  </si>
  <si>
    <t>웨이브 진행 중</t>
  </si>
  <si>
    <r>
      <rPr>
        <sz val="10"/>
        <rFont val="Arial"/>
        <family val="2"/>
      </rPr>
      <t>20</t>
    </r>
    <r>
      <rPr>
        <sz val="10"/>
        <rFont val="Noto Sans CJK SC"/>
        <family val="2"/>
      </rPr>
      <t>초 경과</t>
    </r>
  </si>
  <si>
    <t>웨이브 종료 후 상점 오픈</t>
  </si>
  <si>
    <t>TC-021</t>
  </si>
  <si>
    <t>전멸 무관</t>
  </si>
  <si>
    <t>시간 남은 채 모든 몬스터 처치</t>
  </si>
  <si>
    <r>
      <rPr>
        <sz val="10"/>
        <rFont val="Noto Sans CJK SC"/>
        <family val="2"/>
      </rPr>
      <t>웨이브가 끝나지 않고 계속 진행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시간 기반</t>
    </r>
    <r>
      <rPr>
        <sz val="10"/>
        <rFont val="Arial"/>
        <family val="2"/>
      </rPr>
      <t>)</t>
    </r>
  </si>
  <si>
    <t>TC-022</t>
  </si>
  <si>
    <t>스테이지</t>
  </si>
  <si>
    <t>번호 증가</t>
  </si>
  <si>
    <t>상점 화면</t>
  </si>
  <si>
    <r>
      <rPr>
        <sz val="10"/>
        <rFont val="Arial"/>
        <family val="2"/>
      </rPr>
      <t>'</t>
    </r>
    <r>
      <rPr>
        <sz val="10"/>
        <rFont val="Noto Sans CJK SC"/>
        <family val="2"/>
      </rPr>
      <t>다음 라운드</t>
    </r>
    <r>
      <rPr>
        <sz val="10"/>
        <rFont val="Arial"/>
        <family val="2"/>
      </rPr>
      <t xml:space="preserve">' </t>
    </r>
    <r>
      <rPr>
        <sz val="10"/>
        <rFont val="Noto Sans CJK SC"/>
        <family val="2"/>
      </rPr>
      <t>클릭</t>
    </r>
  </si>
  <si>
    <r>
      <rPr>
        <sz val="10"/>
        <rFont val="Noto Sans CJK SC"/>
        <family val="2"/>
      </rPr>
      <t xml:space="preserve">스테이지 번호 </t>
    </r>
    <r>
      <rPr>
        <sz val="10"/>
        <rFont val="Arial"/>
        <family val="2"/>
      </rPr>
      <t xml:space="preserve">+1 </t>
    </r>
    <r>
      <rPr>
        <sz val="10"/>
        <rFont val="Noto Sans CJK SC"/>
        <family val="2"/>
      </rPr>
      <t>후 웨이브 재개</t>
    </r>
  </si>
  <si>
    <t>TC-023</t>
  </si>
  <si>
    <t>HP</t>
  </si>
  <si>
    <t>체력바 감소</t>
  </si>
  <si>
    <t>플레이어 피격</t>
  </si>
  <si>
    <t>피해 받음</t>
  </si>
  <si>
    <t>머리 위 체력바가 감소</t>
  </si>
  <si>
    <t>TC-024</t>
  </si>
  <si>
    <t>사망</t>
  </si>
  <si>
    <t>게임오버</t>
  </si>
  <si>
    <r>
      <rPr>
        <sz val="10"/>
        <rFont val="Noto Sans CJK SC"/>
        <family val="2"/>
      </rPr>
      <t xml:space="preserve">플레이어 </t>
    </r>
    <r>
      <rPr>
        <sz val="10"/>
        <rFont val="Arial"/>
        <family val="2"/>
      </rPr>
      <t>HP 0</t>
    </r>
  </si>
  <si>
    <r>
      <rPr>
        <sz val="10"/>
        <rFont val="Arial"/>
        <family val="2"/>
      </rPr>
      <t>HP</t>
    </r>
    <r>
      <rPr>
        <sz val="10"/>
        <rFont val="Noto Sans CJK SC"/>
        <family val="2"/>
      </rPr>
      <t xml:space="preserve">가 </t>
    </r>
    <r>
      <rPr>
        <sz val="10"/>
        <rFont val="Arial"/>
        <family val="2"/>
      </rPr>
      <t>0</t>
    </r>
    <r>
      <rPr>
        <sz val="10"/>
        <rFont val="Noto Sans CJK SC"/>
        <family val="2"/>
      </rPr>
      <t>이 됨</t>
    </r>
  </si>
  <si>
    <r>
      <rPr>
        <sz val="10"/>
        <rFont val="Noto Sans CJK SC"/>
        <family val="2"/>
      </rPr>
      <t xml:space="preserve">게임오버 패널 표시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>게임 일시정지</t>
    </r>
  </si>
  <si>
    <t>TC-025</t>
  </si>
  <si>
    <t>재시작</t>
  </si>
  <si>
    <t>게임오버 패널</t>
  </si>
  <si>
    <r>
      <rPr>
        <sz val="10"/>
        <rFont val="Arial"/>
        <family val="2"/>
      </rPr>
      <t>'</t>
    </r>
    <r>
      <rPr>
        <sz val="10"/>
        <rFont val="Noto Sans CJK SC"/>
        <family val="2"/>
      </rPr>
      <t>다시 시작</t>
    </r>
    <r>
      <rPr>
        <sz val="10"/>
        <rFont val="Arial"/>
        <family val="2"/>
      </rPr>
      <t xml:space="preserve">' </t>
    </r>
    <r>
      <rPr>
        <sz val="10"/>
        <rFont val="Noto Sans CJK SC"/>
        <family val="2"/>
      </rPr>
      <t>클릭</t>
    </r>
  </si>
  <si>
    <r>
      <rPr>
        <sz val="10"/>
        <rFont val="Noto Sans CJK SC"/>
        <family val="2"/>
      </rPr>
      <t>현재 씬 리로드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초기화</t>
    </r>
    <r>
      <rPr>
        <sz val="10"/>
        <rFont val="Arial"/>
        <family val="2"/>
      </rPr>
      <t xml:space="preserve">) + </t>
    </r>
    <r>
      <rPr>
        <sz val="10"/>
        <rFont val="Noto Sans CJK SC"/>
        <family val="2"/>
      </rPr>
      <t>시작 무기 재지급</t>
    </r>
  </si>
  <si>
    <t>TC-026</t>
  </si>
  <si>
    <t>로비 복귀</t>
  </si>
  <si>
    <r>
      <rPr>
        <sz val="10"/>
        <rFont val="Arial"/>
        <family val="2"/>
      </rPr>
      <t>'</t>
    </r>
    <r>
      <rPr>
        <sz val="10"/>
        <rFont val="Noto Sans CJK SC"/>
        <family val="2"/>
      </rPr>
      <t>로비로</t>
    </r>
    <r>
      <rPr>
        <sz val="10"/>
        <rFont val="Arial"/>
        <family val="2"/>
      </rPr>
      <t xml:space="preserve">' </t>
    </r>
    <r>
      <rPr>
        <sz val="10"/>
        <rFont val="Noto Sans CJK SC"/>
        <family val="2"/>
      </rPr>
      <t>클릭</t>
    </r>
  </si>
  <si>
    <r>
      <rPr>
        <sz val="10"/>
        <rFont val="Arial"/>
        <family val="2"/>
      </rPr>
      <t xml:space="preserve">MainMenu </t>
    </r>
    <r>
      <rPr>
        <sz val="10"/>
        <rFont val="Noto Sans CJK SC"/>
        <family val="2"/>
      </rPr>
      <t xml:space="preserve">복귀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>시작 무기 선택 초기화</t>
    </r>
  </si>
  <si>
    <t>TC-027</t>
  </si>
  <si>
    <t>코인</t>
  </si>
  <si>
    <t>드랍</t>
  </si>
  <si>
    <t>처치 발생</t>
  </si>
  <si>
    <t>코인이 바닥에 드랍</t>
  </si>
  <si>
    <t>TC-028</t>
  </si>
  <si>
    <t>자석 획득</t>
  </si>
  <si>
    <t>코인 드랍됨</t>
  </si>
  <si>
    <t>플레이어가 코인에 접근</t>
  </si>
  <si>
    <t>코인이 흡수되어 골드 증가</t>
  </si>
  <si>
    <t>TC-029</t>
  </si>
  <si>
    <r>
      <rPr>
        <sz val="10"/>
        <rFont val="Arial"/>
        <family val="2"/>
      </rPr>
      <t xml:space="preserve">HUD </t>
    </r>
    <r>
      <rPr>
        <sz val="10"/>
        <rFont val="Noto Sans CJK SC"/>
        <family val="2"/>
      </rPr>
      <t>갱신</t>
    </r>
  </si>
  <si>
    <t>코인 획득</t>
  </si>
  <si>
    <t>골드 증가</t>
  </si>
  <si>
    <r>
      <rPr>
        <sz val="10"/>
        <rFont val="Arial"/>
        <family val="2"/>
      </rPr>
      <t xml:space="preserve">HUD </t>
    </r>
    <r>
      <rPr>
        <sz val="10"/>
        <rFont val="Noto Sans CJK SC"/>
        <family val="2"/>
      </rPr>
      <t>골드 수치가 즉시 갱신</t>
    </r>
  </si>
  <si>
    <t>TC-030</t>
  </si>
  <si>
    <t>상점</t>
  </si>
  <si>
    <t>자동 오픈</t>
  </si>
  <si>
    <t>웨이브 종료</t>
  </si>
  <si>
    <t>종료 시점</t>
  </si>
  <si>
    <t>상점 자동으로 열리고 게임 일시정지</t>
  </si>
  <si>
    <t>TC-031</t>
  </si>
  <si>
    <t>신규 표시</t>
  </si>
  <si>
    <t>안 가진 무기가 카드에 뜸</t>
  </si>
  <si>
    <t>카드 확인</t>
  </si>
  <si>
    <r>
      <rPr>
        <sz val="10"/>
        <rFont val="Arial"/>
        <family val="2"/>
      </rPr>
      <t>'</t>
    </r>
    <r>
      <rPr>
        <sz val="10"/>
        <rFont val="Noto Sans CJK SC"/>
        <family val="2"/>
      </rPr>
      <t xml:space="preserve">무기명 </t>
    </r>
    <r>
      <rPr>
        <sz val="10"/>
        <rFont val="Arial"/>
        <family val="2"/>
      </rPr>
      <t>Lv1 (</t>
    </r>
    <r>
      <rPr>
        <sz val="10"/>
        <rFont val="Noto Sans CJK SC"/>
        <family val="2"/>
      </rPr>
      <t>신규</t>
    </r>
    <r>
      <rPr>
        <sz val="10"/>
        <rFont val="Arial"/>
        <family val="2"/>
      </rPr>
      <t>)'</t>
    </r>
    <r>
      <rPr>
        <sz val="10"/>
        <rFont val="Noto Sans CJK SC"/>
        <family val="2"/>
      </rPr>
      <t>로 표시</t>
    </r>
  </si>
  <si>
    <t>TC-032</t>
  </si>
  <si>
    <t>강화 표시</t>
  </si>
  <si>
    <t>보유 무기가 카드에 뜸</t>
  </si>
  <si>
    <r>
      <rPr>
        <sz val="10"/>
        <rFont val="Arial"/>
        <family val="2"/>
      </rPr>
      <t>'</t>
    </r>
    <r>
      <rPr>
        <sz val="10"/>
        <rFont val="Noto Sans CJK SC"/>
        <family val="2"/>
      </rPr>
      <t xml:space="preserve">무기명 </t>
    </r>
    <r>
      <rPr>
        <sz val="10"/>
        <rFont val="Arial"/>
        <family val="2"/>
      </rPr>
      <t>Lv(</t>
    </r>
    <r>
      <rPr>
        <sz val="10"/>
        <rFont val="Noto Sans CJK SC"/>
        <family val="2"/>
      </rPr>
      <t>현재</t>
    </r>
    <r>
      <rPr>
        <sz val="10"/>
        <rFont val="Arial"/>
        <family val="2"/>
      </rPr>
      <t>+1) (</t>
    </r>
    <r>
      <rPr>
        <sz val="10"/>
        <rFont val="Noto Sans CJK SC"/>
        <family val="2"/>
      </rPr>
      <t>강화</t>
    </r>
    <r>
      <rPr>
        <sz val="10"/>
        <rFont val="Arial"/>
        <family val="2"/>
      </rPr>
      <t>)'</t>
    </r>
    <r>
      <rPr>
        <sz val="10"/>
        <rFont val="Noto Sans CJK SC"/>
        <family val="2"/>
      </rPr>
      <t>로 표시</t>
    </r>
  </si>
  <si>
    <t>TC-033</t>
  </si>
  <si>
    <t>만렙 제외</t>
  </si>
  <si>
    <r>
      <rPr>
        <sz val="10"/>
        <rFont val="Noto Sans CJK SC"/>
        <family val="2"/>
      </rPr>
      <t xml:space="preserve">특정 무기 </t>
    </r>
    <r>
      <rPr>
        <sz val="10"/>
        <rFont val="Arial"/>
        <family val="2"/>
      </rPr>
      <t xml:space="preserve">Lv5 </t>
    </r>
    <r>
      <rPr>
        <sz val="10"/>
        <rFont val="Noto Sans CJK SC"/>
        <family val="2"/>
      </rPr>
      <t>보유</t>
    </r>
  </si>
  <si>
    <t>상점 여러 번 확인</t>
  </si>
  <si>
    <t>해당 무기가 카드에 뜨지 않음</t>
  </si>
  <si>
    <t>TC-034</t>
  </si>
  <si>
    <t>무기 구매</t>
  </si>
  <si>
    <r>
      <rPr>
        <sz val="10"/>
        <rFont val="Noto Sans CJK SC"/>
        <family val="2"/>
      </rPr>
      <t>골드 충분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무기 카드</t>
    </r>
  </si>
  <si>
    <t>카드 구매</t>
  </si>
  <si>
    <r>
      <rPr>
        <sz val="10"/>
        <rFont val="Noto Sans CJK SC"/>
        <family val="2"/>
      </rPr>
      <t xml:space="preserve">무기 장착 또는 레벨업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>골드 차감</t>
    </r>
  </si>
  <si>
    <t>TC-035</t>
  </si>
  <si>
    <t>골드 부족</t>
  </si>
  <si>
    <r>
      <rPr>
        <sz val="10"/>
        <rFont val="Noto Sans CJK SC"/>
        <family val="2"/>
      </rPr>
      <t xml:space="preserve">골드 </t>
    </r>
    <r>
      <rPr>
        <sz val="10"/>
        <rFont val="Arial"/>
        <family val="2"/>
      </rPr>
      <t xml:space="preserve">&lt; </t>
    </r>
    <r>
      <rPr>
        <sz val="10"/>
        <rFont val="Noto Sans CJK SC"/>
        <family val="2"/>
      </rPr>
      <t>가격</t>
    </r>
  </si>
  <si>
    <r>
      <rPr>
        <sz val="10"/>
        <rFont val="Noto Sans CJK SC"/>
        <family val="2"/>
      </rPr>
      <t>구매 버튼 비활성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구매 불가</t>
    </r>
    <r>
      <rPr>
        <sz val="10"/>
        <rFont val="Arial"/>
        <family val="2"/>
      </rPr>
      <t>)</t>
    </r>
  </si>
  <si>
    <t>TC-036</t>
  </si>
  <si>
    <t>슬롯 만석</t>
  </si>
  <si>
    <r>
      <rPr>
        <sz val="10"/>
        <rFont val="Arial"/>
        <family val="2"/>
      </rPr>
      <t>6</t>
    </r>
    <r>
      <rPr>
        <sz val="10"/>
        <rFont val="Noto Sans CJK SC"/>
        <family val="2"/>
      </rPr>
      <t xml:space="preserve">슬롯 가득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>신규 무기</t>
    </r>
  </si>
  <si>
    <t>구매 시도</t>
  </si>
  <si>
    <r>
      <rPr>
        <sz val="10"/>
        <rFont val="Noto Sans CJK SC"/>
        <family val="2"/>
      </rPr>
      <t xml:space="preserve">구매 실패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>골드 환불</t>
    </r>
  </si>
  <si>
    <t>TC-037</t>
  </si>
  <si>
    <t>만렙 환불</t>
  </si>
  <si>
    <t>만렙 무기 카드가 남은 경우</t>
  </si>
  <si>
    <t>TC-038</t>
  </si>
  <si>
    <t>아이템 등급색</t>
  </si>
  <si>
    <t>아이템 카드 표시</t>
  </si>
  <si>
    <r>
      <rPr>
        <sz val="10"/>
        <rFont val="Noto Sans CJK SC"/>
        <family val="2"/>
      </rPr>
      <t>등급 테두리색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노말 회색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에픽 보라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유니크 금색</t>
    </r>
    <r>
      <rPr>
        <sz val="10"/>
        <rFont val="Arial"/>
        <family val="2"/>
      </rPr>
      <t>)</t>
    </r>
  </si>
  <si>
    <t>TC-039</t>
  </si>
  <si>
    <t>아이템 구매</t>
  </si>
  <si>
    <r>
      <rPr>
        <sz val="10"/>
        <rFont val="Noto Sans CJK SC"/>
        <family val="2"/>
      </rPr>
      <t>아이템 카드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골드 충분</t>
    </r>
  </si>
  <si>
    <t>구매</t>
  </si>
  <si>
    <r>
      <rPr>
        <sz val="10"/>
        <rFont val="Noto Sans CJK SC"/>
        <family val="2"/>
      </rPr>
      <t xml:space="preserve">스탯 패널 값 증가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>골드 차감</t>
    </r>
  </si>
  <si>
    <t>TC-040</t>
  </si>
  <si>
    <r>
      <rPr>
        <sz val="10"/>
        <rFont val="Arial"/>
        <family val="2"/>
      </rPr>
      <t xml:space="preserve">HP </t>
    </r>
    <r>
      <rPr>
        <sz val="10"/>
        <rFont val="Noto Sans CJK SC"/>
        <family val="2"/>
      </rPr>
      <t>아이템</t>
    </r>
  </si>
  <si>
    <r>
      <rPr>
        <sz val="10"/>
        <rFont val="Arial"/>
        <family val="2"/>
      </rPr>
      <t xml:space="preserve">HP </t>
    </r>
    <r>
      <rPr>
        <sz val="10"/>
        <rFont val="Noto Sans CJK SC"/>
        <family val="2"/>
      </rPr>
      <t>아이템 구매</t>
    </r>
  </si>
  <si>
    <r>
      <rPr>
        <sz val="10"/>
        <rFont val="Noto Sans CJK SC"/>
        <family val="2"/>
      </rPr>
      <t xml:space="preserve">최대 </t>
    </r>
    <r>
      <rPr>
        <sz val="10"/>
        <rFont val="Arial"/>
        <family val="2"/>
      </rPr>
      <t xml:space="preserve">HP </t>
    </r>
    <r>
      <rPr>
        <sz val="10"/>
        <rFont val="Noto Sans CJK SC"/>
        <family val="2"/>
      </rPr>
      <t xml:space="preserve">증가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 xml:space="preserve">증가분만큼 현재 </t>
    </r>
    <r>
      <rPr>
        <sz val="10"/>
        <rFont val="Arial"/>
        <family val="2"/>
      </rPr>
      <t xml:space="preserve">HP </t>
    </r>
    <r>
      <rPr>
        <sz val="10"/>
        <rFont val="Noto Sans CJK SC"/>
        <family val="2"/>
      </rPr>
      <t>회복</t>
    </r>
  </si>
  <si>
    <t>TC-041</t>
  </si>
  <si>
    <t>행운 영향</t>
  </si>
  <si>
    <t>행운 아이템 보유</t>
  </si>
  <si>
    <t>이후 상점 재방문</t>
  </si>
  <si>
    <r>
      <rPr>
        <sz val="10"/>
        <rFont val="Noto Sans CJK SC"/>
        <family val="2"/>
      </rPr>
      <t>상위 등급 아이템 출현 확률 증가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경향</t>
    </r>
    <r>
      <rPr>
        <sz val="10"/>
        <rFont val="Arial"/>
        <family val="2"/>
      </rPr>
      <t>)</t>
    </r>
  </si>
  <si>
    <t>TC-042</t>
  </si>
  <si>
    <t>리롤</t>
  </si>
  <si>
    <t>골드 충분</t>
  </si>
  <si>
    <r>
      <rPr>
        <sz val="10"/>
        <rFont val="Arial"/>
        <family val="2"/>
      </rPr>
      <t>'</t>
    </r>
    <r>
      <rPr>
        <sz val="10"/>
        <rFont val="Noto Sans CJK SC"/>
        <family val="2"/>
      </rPr>
      <t>돌리기</t>
    </r>
    <r>
      <rPr>
        <sz val="10"/>
        <rFont val="Arial"/>
        <family val="2"/>
      </rPr>
      <t xml:space="preserve">' </t>
    </r>
    <r>
      <rPr>
        <sz val="10"/>
        <rFont val="Noto Sans CJK SC"/>
        <family val="2"/>
      </rPr>
      <t>클릭</t>
    </r>
  </si>
  <si>
    <r>
      <rPr>
        <sz val="10"/>
        <rFont val="Noto Sans CJK SC"/>
        <family val="2"/>
      </rPr>
      <t xml:space="preserve">골드 차감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>카드 새로 갱신</t>
    </r>
  </si>
  <si>
    <t>TC-043</t>
  </si>
  <si>
    <t>리롤 부족</t>
  </si>
  <si>
    <r>
      <rPr>
        <sz val="10"/>
        <rFont val="Noto Sans CJK SC"/>
        <family val="2"/>
      </rPr>
      <t xml:space="preserve">골드 </t>
    </r>
    <r>
      <rPr>
        <sz val="10"/>
        <rFont val="Arial"/>
        <family val="2"/>
      </rPr>
      <t xml:space="preserve">&lt; </t>
    </r>
    <r>
      <rPr>
        <sz val="10"/>
        <rFont val="Noto Sans CJK SC"/>
        <family val="2"/>
      </rPr>
      <t>리롤 비용</t>
    </r>
  </si>
  <si>
    <t>확인</t>
  </si>
  <si>
    <t>돌리기 버튼 비활성</t>
  </si>
  <si>
    <t>TC-044</t>
  </si>
  <si>
    <t>다음 라운드</t>
  </si>
  <si>
    <r>
      <rPr>
        <sz val="10"/>
        <rFont val="Noto Sans CJK SC"/>
        <family val="2"/>
      </rPr>
      <t xml:space="preserve">상점 닫힘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 xml:space="preserve">일시정지 해제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>웨이브 재개</t>
    </r>
  </si>
  <si>
    <t>TC-045</t>
  </si>
  <si>
    <r>
      <rPr>
        <sz val="10"/>
        <rFont val="Noto Sans CJK SC"/>
        <family val="2"/>
      </rPr>
      <t xml:space="preserve">카드 </t>
    </r>
    <r>
      <rPr>
        <sz val="10"/>
        <rFont val="Arial"/>
        <family val="2"/>
      </rPr>
      <t>UI</t>
    </r>
  </si>
  <si>
    <t>상점 오픈</t>
  </si>
  <si>
    <r>
      <rPr>
        <sz val="10"/>
        <rFont val="Noto Sans CJK SC"/>
        <family val="2"/>
      </rPr>
      <t>아이콘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이름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레벨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또는 효과</t>
    </r>
    <r>
      <rPr>
        <sz val="10"/>
        <rFont val="Arial"/>
        <family val="2"/>
      </rPr>
      <t>)·</t>
    </r>
    <r>
      <rPr>
        <sz val="10"/>
        <rFont val="Noto Sans CJK SC"/>
        <family val="2"/>
      </rPr>
      <t>가격이 리모델 레이아웃으로 표시</t>
    </r>
  </si>
  <si>
    <t>TC-046</t>
  </si>
  <si>
    <t>세트</t>
  </si>
  <si>
    <t>근접 세트</t>
  </si>
  <si>
    <r>
      <rPr>
        <sz val="10"/>
        <rFont val="Noto Sans CJK SC"/>
        <family val="2"/>
      </rPr>
      <t xml:space="preserve">근접 무기 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개 장착</t>
    </r>
  </si>
  <si>
    <t>데미지 확인</t>
  </si>
  <si>
    <r>
      <rPr>
        <sz val="10"/>
        <rFont val="Noto Sans CJK SC"/>
        <family val="2"/>
      </rPr>
      <t xml:space="preserve">근접 무기 데미지 </t>
    </r>
    <r>
      <rPr>
        <sz val="10"/>
        <rFont val="Arial"/>
        <family val="2"/>
      </rPr>
      <t>+10%(4</t>
    </r>
    <r>
      <rPr>
        <sz val="10"/>
        <rFont val="Noto Sans CJK SC"/>
        <family val="2"/>
      </rPr>
      <t xml:space="preserve">개 </t>
    </r>
    <r>
      <rPr>
        <sz val="10"/>
        <rFont val="Arial"/>
        <family val="2"/>
      </rPr>
      <t>+20%, 6</t>
    </r>
    <r>
      <rPr>
        <sz val="10"/>
        <rFont val="Noto Sans CJK SC"/>
        <family val="2"/>
      </rPr>
      <t xml:space="preserve">개 </t>
    </r>
    <r>
      <rPr>
        <sz val="10"/>
        <rFont val="Arial"/>
        <family val="2"/>
      </rPr>
      <t>+30%)</t>
    </r>
  </si>
  <si>
    <t>TC-047</t>
  </si>
  <si>
    <t>원거리 세트</t>
  </si>
  <si>
    <r>
      <rPr>
        <sz val="10"/>
        <rFont val="Noto Sans CJK SC"/>
        <family val="2"/>
      </rPr>
      <t xml:space="preserve">원거리 무기 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개 장착</t>
    </r>
  </si>
  <si>
    <t>원거리 무기만 세트 보너스 적용</t>
  </si>
  <si>
    <t>TC-048</t>
  </si>
  <si>
    <t>표시</t>
  </si>
  <si>
    <t>세트 활성</t>
  </si>
  <si>
    <t>상점 스탯 패널 확인</t>
  </si>
  <si>
    <r>
      <rPr>
        <sz val="10"/>
        <rFont val="Arial"/>
        <family val="2"/>
      </rPr>
      <t>'</t>
    </r>
    <r>
      <rPr>
        <sz val="10"/>
        <rFont val="Noto Sans CJK SC"/>
        <family val="2"/>
      </rPr>
      <t xml:space="preserve">근접 세트 </t>
    </r>
    <r>
      <rPr>
        <sz val="10"/>
        <rFont val="Arial"/>
        <family val="2"/>
      </rPr>
      <t xml:space="preserve">+X% (N)' </t>
    </r>
    <r>
      <rPr>
        <sz val="10"/>
        <rFont val="Noto Sans CJK SC"/>
        <family val="2"/>
      </rPr>
      <t>표시</t>
    </r>
  </si>
  <si>
    <t>TC-049</t>
  </si>
  <si>
    <t>즉시 갱신</t>
  </si>
  <si>
    <r>
      <rPr>
        <sz val="10"/>
        <rFont val="Noto Sans CJK SC"/>
        <family val="2"/>
      </rPr>
      <t>무기 추가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레벨업</t>
    </r>
  </si>
  <si>
    <t>무기 구성 변경</t>
  </si>
  <si>
    <t>세트 보너스 즉시 재계산</t>
  </si>
  <si>
    <t>TC-050</t>
  </si>
  <si>
    <t>HUD</t>
  </si>
  <si>
    <t>상단바</t>
  </si>
  <si>
    <t>게임 진행</t>
  </si>
  <si>
    <t>화면 확인</t>
  </si>
  <si>
    <r>
      <rPr>
        <sz val="10"/>
        <rFont val="Noto Sans CJK SC"/>
        <family val="2"/>
      </rPr>
      <t>라운드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시간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골드가 상단에 표시</t>
    </r>
  </si>
  <si>
    <t>TC-051</t>
  </si>
  <si>
    <t>무기 바</t>
  </si>
  <si>
    <t>무기 장착</t>
  </si>
  <si>
    <t>좌하단 확인</t>
  </si>
  <si>
    <t>장착 무기 아이콘이 줄로 표시</t>
  </si>
  <si>
    <t>TC-052</t>
  </si>
  <si>
    <t>레벨 칸</t>
  </si>
  <si>
    <t>무기 레벨업</t>
  </si>
  <si>
    <t>무기 바 확인</t>
  </si>
  <si>
    <r>
      <rPr>
        <sz val="10"/>
        <rFont val="Noto Sans CJK SC"/>
        <family val="2"/>
      </rPr>
      <t xml:space="preserve">아이콘 아래 </t>
    </r>
    <r>
      <rPr>
        <sz val="10"/>
        <rFont val="Arial"/>
        <family val="2"/>
      </rPr>
      <t>5</t>
    </r>
    <r>
      <rPr>
        <sz val="10"/>
        <rFont val="Noto Sans CJK SC"/>
        <family val="2"/>
      </rPr>
      <t>칸 중 현재 레벨만큼 채워짐</t>
    </r>
  </si>
  <si>
    <t>TC-053</t>
  </si>
  <si>
    <t>아이콘</t>
  </si>
  <si>
    <t>상점 아이콘</t>
  </si>
  <si>
    <t>무기 카드</t>
  </si>
  <si>
    <t>무기 스프라이트가 카드 상단에 표시</t>
  </si>
  <si>
    <t>TC-054</t>
  </si>
  <si>
    <r>
      <rPr>
        <sz val="10"/>
        <rFont val="Arial"/>
        <family val="2"/>
      </rPr>
      <t xml:space="preserve">HUD </t>
    </r>
    <r>
      <rPr>
        <sz val="10"/>
        <rFont val="Noto Sans CJK SC"/>
        <family val="2"/>
      </rPr>
      <t>아이콘</t>
    </r>
  </si>
  <si>
    <r>
      <rPr>
        <sz val="10"/>
        <rFont val="Noto Sans CJK SC"/>
        <family val="2"/>
      </rPr>
      <t>무기 아이콘 표시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아이템 아이콘 없으면 빈 프레임</t>
    </r>
    <r>
      <rPr>
        <sz val="10"/>
        <rFont val="Arial"/>
        <family val="2"/>
      </rPr>
      <t>=</t>
    </r>
    <r>
      <rPr>
        <sz val="10"/>
        <rFont val="Noto Sans CJK SC"/>
        <family val="2"/>
      </rPr>
      <t>정상</t>
    </r>
    <r>
      <rPr>
        <sz val="10"/>
        <rFont val="Arial"/>
        <family val="2"/>
      </rPr>
      <t>)</t>
    </r>
  </si>
  <si>
    <t>TC-055</t>
  </si>
  <si>
    <t>무기</t>
  </si>
  <si>
    <t>최대 레벨</t>
  </si>
  <si>
    <t>같은 무기 반복 구매</t>
  </si>
  <si>
    <r>
      <rPr>
        <sz val="10"/>
        <rFont val="Arial"/>
        <family val="2"/>
      </rPr>
      <t xml:space="preserve">Lv5 </t>
    </r>
    <r>
      <rPr>
        <sz val="10"/>
        <rFont val="Noto Sans CJK SC"/>
        <family val="2"/>
      </rPr>
      <t>도달</t>
    </r>
  </si>
  <si>
    <r>
      <rPr>
        <sz val="10"/>
        <rFont val="Arial"/>
        <family val="2"/>
      </rPr>
      <t>Lv5</t>
    </r>
    <r>
      <rPr>
        <sz val="10"/>
        <rFont val="Noto Sans CJK SC"/>
        <family val="2"/>
      </rPr>
      <t>에서 레벨 정지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더 이상 안 오름</t>
    </r>
    <r>
      <rPr>
        <sz val="10"/>
        <rFont val="Arial"/>
        <family val="2"/>
      </rPr>
      <t>)</t>
    </r>
  </si>
  <si>
    <t>테스트 요약</t>
  </si>
  <si>
    <t>대분류별 케이스 수</t>
  </si>
  <si>
    <t>개수</t>
  </si>
  <si>
    <t>전체 케이스</t>
  </si>
  <si>
    <t>Fail</t>
  </si>
  <si>
    <t>N/A</t>
  </si>
  <si>
    <t>보류</t>
  </si>
  <si>
    <t>미실행</t>
  </si>
  <si>
    <r>
      <rPr>
        <sz val="11"/>
        <rFont val="Noto Sans CJK SC"/>
        <family val="2"/>
      </rPr>
      <t>진행률</t>
    </r>
    <r>
      <rPr>
        <sz val="11"/>
        <rFont val="Arial"/>
        <family val="2"/>
      </rPr>
      <t>(Pass/</t>
    </r>
    <r>
      <rPr>
        <sz val="11"/>
        <rFont val="Noto Sans CJK SC"/>
        <family val="2"/>
      </rPr>
      <t>전체</t>
    </r>
    <r>
      <rPr>
        <sz val="11"/>
        <rFont val="Arial"/>
        <family val="2"/>
      </rPr>
      <t>)</t>
    </r>
  </si>
  <si>
    <r>
      <rPr>
        <sz val="10"/>
        <rFont val="돋움"/>
        <family val="3"/>
        <charset val="129"/>
      </rPr>
      <t>정상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작동함</t>
    </r>
    <phoneticPr fontId="16" type="noConversion"/>
  </si>
  <si>
    <r>
      <rPr>
        <sz val="10"/>
        <rFont val="돋움"/>
        <family val="3"/>
        <charset val="129"/>
      </rPr>
      <t>무기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미선택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불가</t>
    </r>
    <phoneticPr fontId="16" type="noConversion"/>
  </si>
  <si>
    <r>
      <rPr>
        <sz val="10"/>
        <rFont val="돋움"/>
        <family val="3"/>
        <charset val="129"/>
      </rPr>
      <t>무기를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안고르고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시작할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필요</t>
    </r>
    <r>
      <rPr>
        <sz val="10"/>
        <rFont val="Arial"/>
        <family val="2"/>
      </rPr>
      <t xml:space="preserve"> x, </t>
    </r>
    <r>
      <rPr>
        <sz val="10"/>
        <rFont val="돋움"/>
        <family val="3"/>
        <charset val="129"/>
      </rPr>
      <t>게임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시작시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기본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무기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클릭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시작</t>
    </r>
    <phoneticPr fontId="16" type="noConversion"/>
  </si>
  <si>
    <t>작동</t>
    <phoneticPr fontId="16" type="noConversion"/>
  </si>
  <si>
    <r>
      <rPr>
        <sz val="10"/>
        <rFont val="돋움"/>
        <family val="3"/>
        <charset val="129"/>
      </rPr>
      <t>캐릭터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중심까지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이동</t>
    </r>
    <r>
      <rPr>
        <sz val="10"/>
        <rFont val="Arial"/>
        <family val="2"/>
      </rPr>
      <t xml:space="preserve">, </t>
    </r>
    <r>
      <rPr>
        <sz val="10"/>
        <rFont val="돋움"/>
        <family val="3"/>
        <charset val="129"/>
      </rPr>
      <t>캐릭터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절반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잘림</t>
    </r>
    <phoneticPr fontId="16" type="noConversion"/>
  </si>
  <si>
    <r>
      <rPr>
        <sz val="10"/>
        <rFont val="돋움"/>
        <family val="3"/>
        <charset val="129"/>
      </rPr>
      <t>일부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작동</t>
    </r>
    <phoneticPr fontId="16" type="noConversion"/>
  </si>
  <si>
    <r>
      <rPr>
        <sz val="10"/>
        <rFont val="돋움"/>
        <family val="3"/>
        <charset val="129"/>
      </rPr>
      <t>근접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무기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표시</t>
    </r>
    <r>
      <rPr>
        <sz val="10"/>
        <rFont val="Arial"/>
        <family val="2"/>
      </rPr>
      <t xml:space="preserve"> x</t>
    </r>
    <phoneticPr fontId="16" type="noConversion"/>
  </si>
  <si>
    <r>
      <rPr>
        <sz val="10"/>
        <rFont val="돋움"/>
        <family val="3"/>
        <charset val="129"/>
      </rPr>
      <t>자석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등장</t>
    </r>
    <r>
      <rPr>
        <sz val="10"/>
        <rFont val="Arial"/>
        <family val="2"/>
      </rPr>
      <t xml:space="preserve"> x</t>
    </r>
    <phoneticPr fontId="16" type="noConversion"/>
  </si>
  <si>
    <r>
      <rPr>
        <sz val="10"/>
        <rFont val="돋움"/>
        <family val="3"/>
        <charset val="129"/>
      </rPr>
      <t>작동</t>
    </r>
    <r>
      <rPr>
        <sz val="10"/>
        <rFont val="Noto Sans CJK SC"/>
        <family val="2"/>
      </rPr>
      <t xml:space="preserve"> x</t>
    </r>
    <phoneticPr fontId="16" type="noConversion"/>
  </si>
  <si>
    <t>일부 작동</t>
    <phoneticPr fontId="16" type="noConversion"/>
  </si>
  <si>
    <r>
      <t>3</t>
    </r>
    <r>
      <rPr>
        <sz val="10"/>
        <rFont val="돋움"/>
        <family val="3"/>
        <charset val="129"/>
      </rPr>
      <t>번째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칸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이미지</t>
    </r>
    <r>
      <rPr>
        <sz val="10"/>
        <rFont val="Arial"/>
        <family val="2"/>
      </rPr>
      <t xml:space="preserve"> x</t>
    </r>
    <phoneticPr fontId="16" type="noConversion"/>
  </si>
  <si>
    <t>작동 x</t>
    <phoneticPr fontId="16" type="noConversion"/>
  </si>
  <si>
    <r>
      <rPr>
        <sz val="10"/>
        <rFont val="돋움"/>
        <family val="3"/>
        <charset val="129"/>
      </rPr>
      <t>보스가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등장하지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않음</t>
    </r>
    <phoneticPr fontId="16" type="noConversion"/>
  </si>
  <si>
    <r>
      <rPr>
        <sz val="10"/>
        <rFont val="돋움"/>
        <family val="3"/>
        <charset val="129"/>
      </rPr>
      <t>테스트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불가</t>
    </r>
    <phoneticPr fontId="16" type="noConversion"/>
  </si>
  <si>
    <r>
      <rPr>
        <sz val="10"/>
        <rFont val="돋움"/>
        <family val="3"/>
        <charset val="129"/>
      </rPr>
      <t>정상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작동함</t>
    </r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</si>
</sst>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%"/>
  </numFmts>
  <fonts count="18">
    <font>
      <sz val="11"/>
      <color theme="1"/>
      <name val="Calibri"/>
      <family val="2"/>
      <charset val="1"/>
    </font>
    <font>
      <b/>
      <sz val="16"/>
      <color rgb="FF1F3B57"/>
      <name val="Arial"/>
      <family val="2"/>
    </font>
    <font>
      <b/>
      <sz val="16"/>
      <color rgb="FF1F3B57"/>
      <name val="Noto Sans CJK SC"/>
      <family val="2"/>
    </font>
    <font>
      <i/>
      <sz val="9"/>
      <color rgb="FF555555"/>
      <name val="Noto Sans CJK SC"/>
      <family val="2"/>
    </font>
    <font>
      <i/>
      <sz val="9"/>
      <color rgb="FF555555"/>
      <name val="Arial"/>
      <family val="2"/>
    </font>
    <font>
      <b/>
      <sz val="11"/>
      <color rgb="FFFFFFFF"/>
      <name val="Arial"/>
      <family val="2"/>
    </font>
    <font>
      <b/>
      <sz val="11"/>
      <color rgb="FFFFFFFF"/>
      <name val="Noto Sans CJK SC"/>
      <family val="2"/>
    </font>
    <font>
      <i/>
      <sz val="10"/>
      <color rgb="FF777777"/>
      <name val="Noto Sans CJK SC"/>
      <family val="2"/>
    </font>
    <font>
      <i/>
      <sz val="10"/>
      <color rgb="FF777777"/>
      <name val="Arial"/>
      <family val="2"/>
    </font>
    <font>
      <sz val="10"/>
      <name val="Arial"/>
      <family val="2"/>
    </font>
    <font>
      <sz val="10"/>
      <name val="Noto Sans CJK SC"/>
      <family val="2"/>
    </font>
    <font>
      <b/>
      <sz val="12"/>
      <name val="Noto Sans CJK SC"/>
      <family val="2"/>
    </font>
    <font>
      <b/>
      <sz val="11"/>
      <name val="Noto Sans CJK SC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Noto Sans CJK SC"/>
      <family val="2"/>
    </font>
    <font>
      <sz val="8"/>
      <name val="돋움"/>
      <family val="3"/>
      <charset val="129"/>
    </font>
    <font>
      <sz val="1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F3B57"/>
        <bgColor rgb="FF003366"/>
      </patternFill>
    </fill>
    <fill>
      <patternFill patternType="solid">
        <fgColor rgb="FFFFF6DA"/>
        <bgColor rgb="FFF2F5F8"/>
      </patternFill>
    </fill>
    <fill>
      <patternFill patternType="solid">
        <fgColor rgb="FFF2F5F8"/>
        <bgColor rgb="FFFFFFFF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9" fillId="4" borderId="1" xfId="0" applyFont="1" applyFill="1" applyBorder="1" applyAlignment="1">
      <alignment horizontal="center" vertical="top"/>
    </xf>
    <xf numFmtId="0" fontId="10" fillId="4" borderId="1" xfId="0" applyFont="1" applyFill="1" applyBorder="1" applyAlignment="1">
      <alignment horizontal="left" vertical="top"/>
    </xf>
    <xf numFmtId="0" fontId="10" fillId="4" borderId="1" xfId="0" applyFont="1" applyFill="1" applyBorder="1" applyAlignment="1">
      <alignment horizontal="left" vertical="top" wrapText="1"/>
    </xf>
    <xf numFmtId="0" fontId="9" fillId="4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/>
    </xf>
    <xf numFmtId="0" fontId="9" fillId="4" borderId="1" xfId="0" applyFont="1" applyFill="1" applyBorder="1" applyAlignment="1">
      <alignment horizontal="left" vertical="top"/>
    </xf>
    <xf numFmtId="0" fontId="2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center"/>
    </xf>
    <xf numFmtId="0" fontId="10" fillId="0" borderId="0" xfId="0" applyFont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9" fillId="0" borderId="0" xfId="0" applyFont="1"/>
    <xf numFmtId="176" fontId="14" fillId="0" borderId="0" xfId="0" applyNumberFormat="1" applyFont="1"/>
    <xf numFmtId="0" fontId="1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top" wrapText="1"/>
    </xf>
    <xf numFmtId="0" fontId="10" fillId="4" borderId="2" xfId="0" applyFont="1" applyFill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777777"/>
      <rgbColor rgb="FF9999FF"/>
      <rgbColor rgb="FF993366"/>
      <rgbColor rgb="FFFFF6DA"/>
      <rgbColor rgb="FFF2F5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tabSelected="1" zoomScaleNormal="100" workbookViewId="0">
      <pane ySplit="3" topLeftCell="A12" activePane="bottomLeft" state="frozen"/>
      <selection pane="bottomLeft" activeCell="F26" sqref="F26"/>
    </sheetView>
  </sheetViews>
  <sheetFormatPr defaultColWidth="8.7109375" defaultRowHeight="15"/>
  <cols>
    <col min="1" max="1" width="9" customWidth="1"/>
    <col min="2" max="2" width="12" customWidth="1"/>
    <col min="3" max="3" width="18" customWidth="1"/>
    <col min="4" max="4" width="24" customWidth="1"/>
    <col min="5" max="5" width="26" customWidth="1"/>
    <col min="6" max="6" width="40" customWidth="1"/>
    <col min="7" max="7" width="26" customWidth="1"/>
    <col min="8" max="8" width="10" customWidth="1"/>
    <col min="9" max="9" width="20" customWidth="1"/>
  </cols>
  <sheetData>
    <row r="1" spans="1:9" ht="2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15.7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</row>
    <row r="3" spans="1:9" ht="21.75" customHeight="1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4" t="s">
        <v>18</v>
      </c>
      <c r="I4" s="3" t="s">
        <v>19</v>
      </c>
    </row>
    <row r="5" spans="1:9" ht="25.5">
      <c r="A5" s="5" t="s">
        <v>20</v>
      </c>
      <c r="B5" s="6" t="s">
        <v>21</v>
      </c>
      <c r="C5" s="6" t="s">
        <v>22</v>
      </c>
      <c r="D5" s="7" t="s">
        <v>23</v>
      </c>
      <c r="E5" s="7" t="s">
        <v>24</v>
      </c>
      <c r="F5" s="8" t="s">
        <v>25</v>
      </c>
      <c r="G5" s="8" t="s">
        <v>298</v>
      </c>
      <c r="H5" s="5" t="s">
        <v>18</v>
      </c>
      <c r="I5" s="8"/>
    </row>
    <row r="6" spans="1:9" ht="25.5">
      <c r="A6" s="9" t="s">
        <v>26</v>
      </c>
      <c r="B6" s="10" t="s">
        <v>21</v>
      </c>
      <c r="C6" s="10" t="s">
        <v>27</v>
      </c>
      <c r="D6" s="11" t="s">
        <v>28</v>
      </c>
      <c r="E6" s="11" t="s">
        <v>29</v>
      </c>
      <c r="F6" s="11" t="s">
        <v>30</v>
      </c>
      <c r="G6" s="8" t="s">
        <v>298</v>
      </c>
      <c r="H6" s="5" t="s">
        <v>18</v>
      </c>
      <c r="I6" s="8"/>
    </row>
    <row r="7" spans="1:9">
      <c r="A7" s="5" t="s">
        <v>31</v>
      </c>
      <c r="B7" s="6" t="s">
        <v>21</v>
      </c>
      <c r="C7" s="6" t="s">
        <v>32</v>
      </c>
      <c r="D7" s="7" t="s">
        <v>33</v>
      </c>
      <c r="E7" s="8" t="s">
        <v>34</v>
      </c>
      <c r="F7" s="7" t="s">
        <v>35</v>
      </c>
      <c r="G7" s="8" t="s">
        <v>298</v>
      </c>
      <c r="H7" s="5" t="s">
        <v>18</v>
      </c>
      <c r="I7" s="8"/>
    </row>
    <row r="8" spans="1:9" ht="38.25">
      <c r="A8" s="9" t="s">
        <v>36</v>
      </c>
      <c r="B8" s="10" t="s">
        <v>21</v>
      </c>
      <c r="C8" s="10" t="s">
        <v>37</v>
      </c>
      <c r="D8" s="11" t="s">
        <v>38</v>
      </c>
      <c r="E8" s="12" t="s">
        <v>34</v>
      </c>
      <c r="F8" s="11" t="s">
        <v>39</v>
      </c>
      <c r="G8" s="8" t="s">
        <v>299</v>
      </c>
      <c r="H8" s="5" t="s">
        <v>295</v>
      </c>
      <c r="I8" s="8" t="s">
        <v>300</v>
      </c>
    </row>
    <row r="9" spans="1:9">
      <c r="A9" s="5" t="s">
        <v>40</v>
      </c>
      <c r="B9" s="6" t="s">
        <v>21</v>
      </c>
      <c r="C9" s="6" t="s">
        <v>41</v>
      </c>
      <c r="D9" s="7" t="s">
        <v>28</v>
      </c>
      <c r="E9" s="8" t="s">
        <v>42</v>
      </c>
      <c r="F9" s="7" t="s">
        <v>43</v>
      </c>
      <c r="G9" s="8" t="s">
        <v>298</v>
      </c>
      <c r="H9" s="5" t="s">
        <v>18</v>
      </c>
      <c r="I9" s="8"/>
    </row>
    <row r="10" spans="1:9">
      <c r="A10" s="9" t="s">
        <v>44</v>
      </c>
      <c r="B10" s="10" t="s">
        <v>45</v>
      </c>
      <c r="C10" s="10" t="s">
        <v>46</v>
      </c>
      <c r="D10" s="11" t="s">
        <v>47</v>
      </c>
      <c r="E10" s="12" t="s">
        <v>48</v>
      </c>
      <c r="F10" s="11" t="s">
        <v>49</v>
      </c>
      <c r="G10" s="8" t="s">
        <v>298</v>
      </c>
      <c r="H10" s="5" t="s">
        <v>18</v>
      </c>
      <c r="I10" s="8"/>
    </row>
    <row r="11" spans="1:9" ht="25.5">
      <c r="A11" s="5" t="s">
        <v>50</v>
      </c>
      <c r="B11" s="6" t="s">
        <v>45</v>
      </c>
      <c r="C11" s="6" t="s">
        <v>51</v>
      </c>
      <c r="D11" s="7" t="s">
        <v>52</v>
      </c>
      <c r="E11" s="7" t="s">
        <v>53</v>
      </c>
      <c r="F11" s="7" t="s">
        <v>54</v>
      </c>
      <c r="G11" s="27" t="s">
        <v>301</v>
      </c>
      <c r="H11" s="5" t="s">
        <v>293</v>
      </c>
      <c r="I11" s="8" t="s">
        <v>302</v>
      </c>
    </row>
    <row r="12" spans="1:9">
      <c r="A12" s="9" t="s">
        <v>55</v>
      </c>
      <c r="B12" s="10" t="s">
        <v>12</v>
      </c>
      <c r="C12" s="10" t="s">
        <v>13</v>
      </c>
      <c r="D12" s="11" t="s">
        <v>56</v>
      </c>
      <c r="E12" s="11" t="s">
        <v>15</v>
      </c>
      <c r="F12" s="11" t="s">
        <v>57</v>
      </c>
      <c r="G12" s="8" t="s">
        <v>298</v>
      </c>
      <c r="H12" s="5" t="s">
        <v>18</v>
      </c>
      <c r="I12" s="8"/>
    </row>
    <row r="13" spans="1:9">
      <c r="A13" s="5" t="s">
        <v>58</v>
      </c>
      <c r="B13" s="6" t="s">
        <v>12</v>
      </c>
      <c r="C13" s="6" t="s">
        <v>59</v>
      </c>
      <c r="D13" s="7" t="s">
        <v>60</v>
      </c>
      <c r="E13" s="7" t="s">
        <v>61</v>
      </c>
      <c r="F13" s="7" t="s">
        <v>62</v>
      </c>
      <c r="G13" s="8" t="s">
        <v>298</v>
      </c>
      <c r="H13" s="5" t="s">
        <v>18</v>
      </c>
      <c r="I13" s="8"/>
    </row>
    <row r="14" spans="1:9">
      <c r="A14" s="9" t="s">
        <v>63</v>
      </c>
      <c r="B14" s="10" t="s">
        <v>12</v>
      </c>
      <c r="C14" s="10" t="s">
        <v>64</v>
      </c>
      <c r="D14" s="11" t="s">
        <v>65</v>
      </c>
      <c r="E14" s="11" t="s">
        <v>66</v>
      </c>
      <c r="F14" s="11" t="s">
        <v>67</v>
      </c>
      <c r="G14" s="8" t="s">
        <v>298</v>
      </c>
      <c r="H14" s="5" t="s">
        <v>18</v>
      </c>
      <c r="I14" s="8"/>
    </row>
    <row r="15" spans="1:9">
      <c r="A15" s="5" t="s">
        <v>68</v>
      </c>
      <c r="B15" s="6" t="s">
        <v>12</v>
      </c>
      <c r="C15" s="6" t="s">
        <v>69</v>
      </c>
      <c r="D15" s="7" t="s">
        <v>70</v>
      </c>
      <c r="E15" s="7" t="s">
        <v>71</v>
      </c>
      <c r="F15" s="7" t="s">
        <v>72</v>
      </c>
      <c r="G15" s="8" t="s">
        <v>298</v>
      </c>
      <c r="H15" s="5" t="s">
        <v>18</v>
      </c>
      <c r="I15" s="8"/>
    </row>
    <row r="16" spans="1:9">
      <c r="A16" s="9" t="s">
        <v>73</v>
      </c>
      <c r="B16" s="10" t="s">
        <v>12</v>
      </c>
      <c r="C16" s="10" t="s">
        <v>74</v>
      </c>
      <c r="D16" s="11" t="s">
        <v>75</v>
      </c>
      <c r="E16" s="11" t="s">
        <v>76</v>
      </c>
      <c r="F16" s="11" t="s">
        <v>77</v>
      </c>
      <c r="G16" s="8" t="s">
        <v>298</v>
      </c>
      <c r="H16" s="5" t="s">
        <v>18</v>
      </c>
      <c r="I16" s="8"/>
    </row>
    <row r="17" spans="1:9">
      <c r="A17" s="5" t="s">
        <v>78</v>
      </c>
      <c r="B17" s="6" t="s">
        <v>12</v>
      </c>
      <c r="C17" s="6" t="s">
        <v>79</v>
      </c>
      <c r="D17" s="7" t="s">
        <v>80</v>
      </c>
      <c r="E17" s="7" t="s">
        <v>81</v>
      </c>
      <c r="F17" s="7" t="s">
        <v>82</v>
      </c>
      <c r="G17" s="8" t="s">
        <v>298</v>
      </c>
      <c r="H17" s="5" t="s">
        <v>18</v>
      </c>
      <c r="I17" s="8"/>
    </row>
    <row r="18" spans="1:9">
      <c r="A18" s="9" t="s">
        <v>83</v>
      </c>
      <c r="B18" s="10" t="s">
        <v>84</v>
      </c>
      <c r="C18" s="10" t="s">
        <v>85</v>
      </c>
      <c r="D18" s="11" t="s">
        <v>86</v>
      </c>
      <c r="E18" s="11" t="s">
        <v>87</v>
      </c>
      <c r="F18" s="11" t="s">
        <v>88</v>
      </c>
      <c r="G18" s="8" t="s">
        <v>298</v>
      </c>
      <c r="H18" s="5" t="s">
        <v>18</v>
      </c>
      <c r="I18" s="8"/>
    </row>
    <row r="19" spans="1:9">
      <c r="A19" s="5" t="s">
        <v>89</v>
      </c>
      <c r="B19" s="6" t="s">
        <v>84</v>
      </c>
      <c r="C19" s="6" t="s">
        <v>90</v>
      </c>
      <c r="D19" s="7" t="s">
        <v>91</v>
      </c>
      <c r="E19" s="7" t="s">
        <v>92</v>
      </c>
      <c r="F19" s="7" t="s">
        <v>93</v>
      </c>
      <c r="G19" s="8" t="s">
        <v>298</v>
      </c>
      <c r="H19" s="5" t="s">
        <v>18</v>
      </c>
      <c r="I19" s="8"/>
    </row>
    <row r="20" spans="1:9">
      <c r="A20" s="9" t="s">
        <v>94</v>
      </c>
      <c r="B20" s="10" t="s">
        <v>84</v>
      </c>
      <c r="C20" s="10" t="s">
        <v>95</v>
      </c>
      <c r="D20" s="11" t="s">
        <v>96</v>
      </c>
      <c r="E20" s="11" t="s">
        <v>97</v>
      </c>
      <c r="F20" s="11" t="s">
        <v>98</v>
      </c>
      <c r="G20" s="8" t="s">
        <v>298</v>
      </c>
      <c r="H20" s="5" t="s">
        <v>18</v>
      </c>
      <c r="I20" s="8"/>
    </row>
    <row r="21" spans="1:9" ht="25.5">
      <c r="A21" s="5" t="s">
        <v>99</v>
      </c>
      <c r="B21" s="6" t="s">
        <v>84</v>
      </c>
      <c r="C21" s="6" t="s">
        <v>100</v>
      </c>
      <c r="D21" s="7" t="s">
        <v>101</v>
      </c>
      <c r="E21" s="7" t="s">
        <v>102</v>
      </c>
      <c r="F21" s="7" t="s">
        <v>103</v>
      </c>
      <c r="G21" s="8" t="s">
        <v>298</v>
      </c>
      <c r="H21" s="5" t="s">
        <v>18</v>
      </c>
      <c r="I21" s="8"/>
    </row>
    <row r="22" spans="1:9">
      <c r="A22" s="9" t="s">
        <v>104</v>
      </c>
      <c r="B22" s="10" t="s">
        <v>105</v>
      </c>
      <c r="C22" s="10" t="s">
        <v>106</v>
      </c>
      <c r="D22" s="11" t="s">
        <v>107</v>
      </c>
      <c r="E22" s="12" t="s">
        <v>108</v>
      </c>
      <c r="F22" s="11" t="s">
        <v>109</v>
      </c>
      <c r="G22" s="27" t="s">
        <v>309</v>
      </c>
      <c r="H22" s="5" t="s">
        <v>293</v>
      </c>
      <c r="I22" s="8" t="s">
        <v>310</v>
      </c>
    </row>
    <row r="23" spans="1:9">
      <c r="A23" s="5" t="s">
        <v>110</v>
      </c>
      <c r="B23" s="6" t="s">
        <v>84</v>
      </c>
      <c r="C23" s="6" t="s">
        <v>111</v>
      </c>
      <c r="D23" s="7" t="s">
        <v>112</v>
      </c>
      <c r="E23" s="7" t="s">
        <v>113</v>
      </c>
      <c r="F23" s="7" t="s">
        <v>114</v>
      </c>
      <c r="G23" s="8" t="s">
        <v>298</v>
      </c>
      <c r="H23" s="5" t="s">
        <v>18</v>
      </c>
      <c r="I23" s="8"/>
    </row>
    <row r="24" spans="1:9">
      <c r="A24" s="9" t="s">
        <v>115</v>
      </c>
      <c r="B24" s="10" t="s">
        <v>116</v>
      </c>
      <c r="C24" s="10" t="s">
        <v>117</v>
      </c>
      <c r="D24" s="11" t="s">
        <v>118</v>
      </c>
      <c r="E24" s="12" t="s">
        <v>119</v>
      </c>
      <c r="F24" s="11" t="s">
        <v>120</v>
      </c>
      <c r="G24" s="8" t="s">
        <v>298</v>
      </c>
      <c r="H24" s="5" t="s">
        <v>18</v>
      </c>
      <c r="I24" s="8"/>
    </row>
    <row r="25" spans="1:9">
      <c r="A25" s="5" t="s">
        <v>121</v>
      </c>
      <c r="B25" s="6" t="s">
        <v>116</v>
      </c>
      <c r="C25" s="6" t="s">
        <v>122</v>
      </c>
      <c r="D25" s="7" t="s">
        <v>118</v>
      </c>
      <c r="E25" s="7" t="s">
        <v>123</v>
      </c>
      <c r="F25" s="7" t="s">
        <v>124</v>
      </c>
      <c r="G25" s="8" t="s">
        <v>298</v>
      </c>
      <c r="H25" s="5" t="s">
        <v>18</v>
      </c>
      <c r="I25" s="8"/>
    </row>
    <row r="26" spans="1:9">
      <c r="A26" s="9" t="s">
        <v>125</v>
      </c>
      <c r="B26" s="10" t="s">
        <v>126</v>
      </c>
      <c r="C26" s="10" t="s">
        <v>127</v>
      </c>
      <c r="D26" s="11" t="s">
        <v>128</v>
      </c>
      <c r="E26" s="12" t="s">
        <v>129</v>
      </c>
      <c r="F26" s="11" t="s">
        <v>130</v>
      </c>
      <c r="G26" s="8" t="s">
        <v>298</v>
      </c>
      <c r="H26" s="5" t="s">
        <v>18</v>
      </c>
      <c r="I26" s="8"/>
    </row>
    <row r="27" spans="1:9">
      <c r="A27" s="5" t="s">
        <v>131</v>
      </c>
      <c r="B27" s="13" t="s">
        <v>132</v>
      </c>
      <c r="C27" s="6" t="s">
        <v>133</v>
      </c>
      <c r="D27" s="7" t="s">
        <v>134</v>
      </c>
      <c r="E27" s="7" t="s">
        <v>135</v>
      </c>
      <c r="F27" s="7" t="s">
        <v>136</v>
      </c>
      <c r="G27" s="8" t="s">
        <v>298</v>
      </c>
      <c r="H27" s="5" t="s">
        <v>18</v>
      </c>
      <c r="I27" s="8"/>
    </row>
    <row r="28" spans="1:9">
      <c r="A28" s="9" t="s">
        <v>137</v>
      </c>
      <c r="B28" s="10" t="s">
        <v>138</v>
      </c>
      <c r="C28" s="10" t="s">
        <v>139</v>
      </c>
      <c r="D28" s="11" t="s">
        <v>140</v>
      </c>
      <c r="E28" s="12" t="s">
        <v>141</v>
      </c>
      <c r="F28" s="11" t="s">
        <v>142</v>
      </c>
      <c r="G28" s="8" t="s">
        <v>298</v>
      </c>
      <c r="H28" s="5" t="s">
        <v>18</v>
      </c>
      <c r="I28" s="8"/>
    </row>
    <row r="29" spans="1:9">
      <c r="A29" s="5" t="s">
        <v>143</v>
      </c>
      <c r="B29" s="6" t="s">
        <v>139</v>
      </c>
      <c r="C29" s="6" t="s">
        <v>144</v>
      </c>
      <c r="D29" s="7" t="s">
        <v>145</v>
      </c>
      <c r="E29" s="8" t="s">
        <v>146</v>
      </c>
      <c r="F29" s="7" t="s">
        <v>147</v>
      </c>
      <c r="G29" s="8" t="s">
        <v>298</v>
      </c>
      <c r="H29" s="5" t="s">
        <v>18</v>
      </c>
      <c r="I29" s="8"/>
    </row>
    <row r="30" spans="1:9">
      <c r="A30" s="9" t="s">
        <v>148</v>
      </c>
      <c r="B30" s="10" t="s">
        <v>139</v>
      </c>
      <c r="C30" s="10" t="s">
        <v>149</v>
      </c>
      <c r="D30" s="11" t="s">
        <v>145</v>
      </c>
      <c r="E30" s="12" t="s">
        <v>150</v>
      </c>
      <c r="F30" s="12" t="s">
        <v>151</v>
      </c>
      <c r="G30" s="8" t="s">
        <v>298</v>
      </c>
      <c r="H30" s="5" t="s">
        <v>18</v>
      </c>
      <c r="I30" s="8"/>
    </row>
    <row r="31" spans="1:9">
      <c r="A31" s="5" t="s">
        <v>152</v>
      </c>
      <c r="B31" s="6" t="s">
        <v>153</v>
      </c>
      <c r="C31" s="6" t="s">
        <v>154</v>
      </c>
      <c r="D31" s="7" t="s">
        <v>113</v>
      </c>
      <c r="E31" s="7" t="s">
        <v>155</v>
      </c>
      <c r="F31" s="7" t="s">
        <v>156</v>
      </c>
      <c r="G31" s="8" t="s">
        <v>298</v>
      </c>
      <c r="H31" s="5" t="s">
        <v>18</v>
      </c>
      <c r="I31" s="8"/>
    </row>
    <row r="32" spans="1:9">
      <c r="A32" s="9" t="s">
        <v>157</v>
      </c>
      <c r="B32" s="10" t="s">
        <v>153</v>
      </c>
      <c r="C32" s="10" t="s">
        <v>158</v>
      </c>
      <c r="D32" s="11" t="s">
        <v>159</v>
      </c>
      <c r="E32" s="11" t="s">
        <v>160</v>
      </c>
      <c r="F32" s="11" t="s">
        <v>161</v>
      </c>
      <c r="G32" s="28" t="s">
        <v>306</v>
      </c>
      <c r="H32" s="5" t="s">
        <v>293</v>
      </c>
      <c r="I32" s="8" t="s">
        <v>305</v>
      </c>
    </row>
    <row r="33" spans="1:9">
      <c r="A33" s="5" t="s">
        <v>162</v>
      </c>
      <c r="B33" s="6" t="s">
        <v>153</v>
      </c>
      <c r="C33" s="13" t="s">
        <v>163</v>
      </c>
      <c r="D33" s="7" t="s">
        <v>164</v>
      </c>
      <c r="E33" s="7" t="s">
        <v>165</v>
      </c>
      <c r="F33" s="8" t="s">
        <v>166</v>
      </c>
      <c r="G33" s="8" t="s">
        <v>298</v>
      </c>
      <c r="H33" s="5" t="s">
        <v>18</v>
      </c>
      <c r="I33" s="8"/>
    </row>
    <row r="34" spans="1:9">
      <c r="A34" s="9" t="s">
        <v>167</v>
      </c>
      <c r="B34" s="10" t="s">
        <v>168</v>
      </c>
      <c r="C34" s="10" t="s">
        <v>169</v>
      </c>
      <c r="D34" s="11" t="s">
        <v>170</v>
      </c>
      <c r="E34" s="11" t="s">
        <v>171</v>
      </c>
      <c r="F34" s="11" t="s">
        <v>172</v>
      </c>
      <c r="G34" s="8" t="s">
        <v>298</v>
      </c>
      <c r="H34" s="5" t="s">
        <v>18</v>
      </c>
      <c r="I34" s="8"/>
    </row>
    <row r="35" spans="1:9">
      <c r="A35" s="5" t="s">
        <v>173</v>
      </c>
      <c r="B35" s="6" t="s">
        <v>168</v>
      </c>
      <c r="C35" s="6" t="s">
        <v>174</v>
      </c>
      <c r="D35" s="7" t="s">
        <v>175</v>
      </c>
      <c r="E35" s="7" t="s">
        <v>176</v>
      </c>
      <c r="F35" s="8" t="s">
        <v>177</v>
      </c>
      <c r="G35" s="8" t="s">
        <v>298</v>
      </c>
      <c r="H35" s="5" t="s">
        <v>18</v>
      </c>
      <c r="I35" s="8"/>
    </row>
    <row r="36" spans="1:9">
      <c r="A36" s="9" t="s">
        <v>178</v>
      </c>
      <c r="B36" s="10" t="s">
        <v>168</v>
      </c>
      <c r="C36" s="10" t="s">
        <v>179</v>
      </c>
      <c r="D36" s="11" t="s">
        <v>180</v>
      </c>
      <c r="E36" s="11" t="s">
        <v>176</v>
      </c>
      <c r="F36" s="12" t="s">
        <v>181</v>
      </c>
      <c r="G36" s="8" t="s">
        <v>298</v>
      </c>
      <c r="H36" s="5" t="s">
        <v>18</v>
      </c>
      <c r="I36" s="8"/>
    </row>
    <row r="37" spans="1:9">
      <c r="A37" s="5" t="s">
        <v>182</v>
      </c>
      <c r="B37" s="6" t="s">
        <v>168</v>
      </c>
      <c r="C37" s="6" t="s">
        <v>183</v>
      </c>
      <c r="D37" s="7" t="s">
        <v>184</v>
      </c>
      <c r="E37" s="7" t="s">
        <v>185</v>
      </c>
      <c r="F37" s="7" t="s">
        <v>186</v>
      </c>
      <c r="G37" s="8" t="s">
        <v>298</v>
      </c>
      <c r="H37" s="5"/>
      <c r="I37" s="8"/>
    </row>
    <row r="38" spans="1:9">
      <c r="A38" s="9" t="s">
        <v>187</v>
      </c>
      <c r="B38" s="10" t="s">
        <v>168</v>
      </c>
      <c r="C38" s="10" t="s">
        <v>188</v>
      </c>
      <c r="D38" s="11" t="s">
        <v>189</v>
      </c>
      <c r="E38" s="11" t="s">
        <v>190</v>
      </c>
      <c r="F38" s="11" t="s">
        <v>191</v>
      </c>
      <c r="G38" s="8" t="s">
        <v>298</v>
      </c>
      <c r="H38" s="5" t="s">
        <v>18</v>
      </c>
      <c r="I38" s="8"/>
    </row>
    <row r="39" spans="1:9">
      <c r="A39" s="5" t="s">
        <v>192</v>
      </c>
      <c r="B39" s="6" t="s">
        <v>168</v>
      </c>
      <c r="C39" s="6" t="s">
        <v>193</v>
      </c>
      <c r="D39" s="7" t="s">
        <v>194</v>
      </c>
      <c r="E39" s="7" t="s">
        <v>176</v>
      </c>
      <c r="F39" s="7" t="s">
        <v>195</v>
      </c>
      <c r="G39" s="8" t="s">
        <v>298</v>
      </c>
      <c r="H39" s="5" t="s">
        <v>18</v>
      </c>
      <c r="I39" s="8"/>
    </row>
    <row r="40" spans="1:9">
      <c r="A40" s="9" t="s">
        <v>196</v>
      </c>
      <c r="B40" s="10" t="s">
        <v>168</v>
      </c>
      <c r="C40" s="10" t="s">
        <v>197</v>
      </c>
      <c r="D40" s="12" t="s">
        <v>198</v>
      </c>
      <c r="E40" s="11" t="s">
        <v>199</v>
      </c>
      <c r="F40" s="11" t="s">
        <v>200</v>
      </c>
      <c r="G40" s="8" t="s">
        <v>298</v>
      </c>
      <c r="H40" s="5" t="s">
        <v>18</v>
      </c>
      <c r="I40" s="8"/>
    </row>
    <row r="41" spans="1:9">
      <c r="A41" s="5" t="s">
        <v>201</v>
      </c>
      <c r="B41" s="6" t="s">
        <v>168</v>
      </c>
      <c r="C41" s="6" t="s">
        <v>202</v>
      </c>
      <c r="D41" s="7" t="s">
        <v>203</v>
      </c>
      <c r="E41" s="7" t="s">
        <v>199</v>
      </c>
      <c r="F41" s="7" t="s">
        <v>200</v>
      </c>
      <c r="G41" s="8" t="s">
        <v>311</v>
      </c>
      <c r="H41" s="5" t="s">
        <v>293</v>
      </c>
      <c r="I41" s="8"/>
    </row>
    <row r="42" spans="1:9" ht="25.5">
      <c r="A42" s="9" t="s">
        <v>204</v>
      </c>
      <c r="B42" s="10" t="s">
        <v>168</v>
      </c>
      <c r="C42" s="10" t="s">
        <v>205</v>
      </c>
      <c r="D42" s="11" t="s">
        <v>206</v>
      </c>
      <c r="E42" s="11" t="s">
        <v>176</v>
      </c>
      <c r="F42" s="11" t="s">
        <v>207</v>
      </c>
      <c r="G42" s="8" t="s">
        <v>298</v>
      </c>
      <c r="H42" s="5" t="s">
        <v>18</v>
      </c>
      <c r="I42" s="8"/>
    </row>
    <row r="43" spans="1:9">
      <c r="A43" s="5" t="s">
        <v>208</v>
      </c>
      <c r="B43" s="6" t="s">
        <v>168</v>
      </c>
      <c r="C43" s="6" t="s">
        <v>209</v>
      </c>
      <c r="D43" s="7" t="s">
        <v>210</v>
      </c>
      <c r="E43" s="7" t="s">
        <v>211</v>
      </c>
      <c r="F43" s="7" t="s">
        <v>212</v>
      </c>
      <c r="G43" s="8" t="s">
        <v>298</v>
      </c>
      <c r="H43" s="5" t="s">
        <v>18</v>
      </c>
      <c r="I43" s="8"/>
    </row>
    <row r="44" spans="1:9">
      <c r="A44" s="9" t="s">
        <v>213</v>
      </c>
      <c r="B44" s="10" t="s">
        <v>168</v>
      </c>
      <c r="C44" s="14" t="s">
        <v>214</v>
      </c>
      <c r="D44" s="12" t="s">
        <v>215</v>
      </c>
      <c r="E44" s="11" t="s">
        <v>211</v>
      </c>
      <c r="F44" s="11" t="s">
        <v>216</v>
      </c>
      <c r="G44" s="8" t="s">
        <v>298</v>
      </c>
      <c r="H44" s="5" t="s">
        <v>18</v>
      </c>
      <c r="I44" s="8"/>
    </row>
    <row r="45" spans="1:9">
      <c r="A45" s="5" t="s">
        <v>217</v>
      </c>
      <c r="B45" s="6" t="s">
        <v>168</v>
      </c>
      <c r="C45" s="6" t="s">
        <v>218</v>
      </c>
      <c r="D45" s="7" t="s">
        <v>219</v>
      </c>
      <c r="E45" s="7" t="s">
        <v>220</v>
      </c>
      <c r="F45" s="7" t="s">
        <v>221</v>
      </c>
      <c r="G45" s="8" t="s">
        <v>312</v>
      </c>
      <c r="H45" s="5" t="s">
        <v>18</v>
      </c>
      <c r="I45" s="8"/>
    </row>
    <row r="46" spans="1:9">
      <c r="A46" s="9" t="s">
        <v>222</v>
      </c>
      <c r="B46" s="10" t="s">
        <v>168</v>
      </c>
      <c r="C46" s="10" t="s">
        <v>223</v>
      </c>
      <c r="D46" s="11" t="s">
        <v>224</v>
      </c>
      <c r="E46" s="12" t="s">
        <v>225</v>
      </c>
      <c r="F46" s="11" t="s">
        <v>226</v>
      </c>
      <c r="G46" s="8" t="s">
        <v>298</v>
      </c>
      <c r="H46" s="5" t="s">
        <v>18</v>
      </c>
      <c r="I46" s="8"/>
    </row>
    <row r="47" spans="1:9">
      <c r="A47" s="5" t="s">
        <v>227</v>
      </c>
      <c r="B47" s="6" t="s">
        <v>168</v>
      </c>
      <c r="C47" s="6" t="s">
        <v>228</v>
      </c>
      <c r="D47" s="7" t="s">
        <v>229</v>
      </c>
      <c r="E47" s="7" t="s">
        <v>230</v>
      </c>
      <c r="F47" s="7" t="s">
        <v>231</v>
      </c>
      <c r="G47" s="8" t="s">
        <v>298</v>
      </c>
      <c r="H47" s="5" t="s">
        <v>18</v>
      </c>
      <c r="I47" s="8"/>
    </row>
    <row r="48" spans="1:9">
      <c r="A48" s="9" t="s">
        <v>232</v>
      </c>
      <c r="B48" s="10" t="s">
        <v>168</v>
      </c>
      <c r="C48" s="10" t="s">
        <v>233</v>
      </c>
      <c r="D48" s="11" t="s">
        <v>128</v>
      </c>
      <c r="E48" s="12" t="s">
        <v>129</v>
      </c>
      <c r="F48" s="11" t="s">
        <v>234</v>
      </c>
      <c r="G48" s="8" t="s">
        <v>298</v>
      </c>
      <c r="H48" s="5" t="s">
        <v>18</v>
      </c>
      <c r="I48" s="8"/>
    </row>
    <row r="49" spans="1:9" ht="25.5">
      <c r="A49" s="5" t="s">
        <v>235</v>
      </c>
      <c r="B49" s="6" t="s">
        <v>168</v>
      </c>
      <c r="C49" s="6" t="s">
        <v>236</v>
      </c>
      <c r="D49" s="7" t="s">
        <v>237</v>
      </c>
      <c r="E49" s="7" t="s">
        <v>176</v>
      </c>
      <c r="F49" s="7" t="s">
        <v>238</v>
      </c>
      <c r="G49" s="8" t="s">
        <v>298</v>
      </c>
      <c r="H49" s="5" t="s">
        <v>18</v>
      </c>
      <c r="I49" s="8"/>
    </row>
    <row r="50" spans="1:9">
      <c r="A50" s="9" t="s">
        <v>239</v>
      </c>
      <c r="B50" s="10" t="s">
        <v>240</v>
      </c>
      <c r="C50" s="10" t="s">
        <v>241</v>
      </c>
      <c r="D50" s="11" t="s">
        <v>242</v>
      </c>
      <c r="E50" s="11" t="s">
        <v>243</v>
      </c>
      <c r="F50" s="11" t="s">
        <v>244</v>
      </c>
      <c r="G50" s="8" t="s">
        <v>298</v>
      </c>
      <c r="H50" s="5" t="s">
        <v>18</v>
      </c>
      <c r="I50" s="8"/>
    </row>
    <row r="51" spans="1:9">
      <c r="A51" s="5" t="s">
        <v>245</v>
      </c>
      <c r="B51" s="6" t="s">
        <v>240</v>
      </c>
      <c r="C51" s="6" t="s">
        <v>246</v>
      </c>
      <c r="D51" s="7" t="s">
        <v>247</v>
      </c>
      <c r="E51" s="7" t="s">
        <v>243</v>
      </c>
      <c r="F51" s="7" t="s">
        <v>248</v>
      </c>
      <c r="G51" s="8" t="s">
        <v>298</v>
      </c>
      <c r="H51" s="5" t="s">
        <v>18</v>
      </c>
      <c r="I51" s="8"/>
    </row>
    <row r="52" spans="1:9">
      <c r="A52" s="9" t="s">
        <v>249</v>
      </c>
      <c r="B52" s="10" t="s">
        <v>240</v>
      </c>
      <c r="C52" s="10" t="s">
        <v>250</v>
      </c>
      <c r="D52" s="11" t="s">
        <v>251</v>
      </c>
      <c r="E52" s="11" t="s">
        <v>252</v>
      </c>
      <c r="F52" s="12" t="s">
        <v>253</v>
      </c>
      <c r="G52" s="8" t="s">
        <v>298</v>
      </c>
      <c r="H52" s="5" t="s">
        <v>18</v>
      </c>
      <c r="I52" s="8"/>
    </row>
    <row r="53" spans="1:9">
      <c r="A53" s="5" t="s">
        <v>254</v>
      </c>
      <c r="B53" s="6" t="s">
        <v>240</v>
      </c>
      <c r="C53" s="6" t="s">
        <v>255</v>
      </c>
      <c r="D53" s="7" t="s">
        <v>256</v>
      </c>
      <c r="E53" s="7" t="s">
        <v>257</v>
      </c>
      <c r="F53" s="7" t="s">
        <v>258</v>
      </c>
      <c r="G53" s="8" t="s">
        <v>298</v>
      </c>
      <c r="H53" s="5" t="s">
        <v>18</v>
      </c>
      <c r="I53" s="8"/>
    </row>
    <row r="54" spans="1:9">
      <c r="A54" s="9" t="s">
        <v>259</v>
      </c>
      <c r="B54" s="14" t="s">
        <v>260</v>
      </c>
      <c r="C54" s="10" t="s">
        <v>261</v>
      </c>
      <c r="D54" s="11" t="s">
        <v>262</v>
      </c>
      <c r="E54" s="11" t="s">
        <v>263</v>
      </c>
      <c r="F54" s="11" t="s">
        <v>264</v>
      </c>
      <c r="G54" s="8" t="s">
        <v>298</v>
      </c>
      <c r="H54" s="5" t="s">
        <v>18</v>
      </c>
      <c r="I54" s="8"/>
    </row>
    <row r="55" spans="1:9">
      <c r="A55" s="5" t="s">
        <v>265</v>
      </c>
      <c r="B55" s="13" t="s">
        <v>260</v>
      </c>
      <c r="C55" s="6" t="s">
        <v>266</v>
      </c>
      <c r="D55" s="7" t="s">
        <v>267</v>
      </c>
      <c r="E55" s="7" t="s">
        <v>268</v>
      </c>
      <c r="F55" s="7" t="s">
        <v>269</v>
      </c>
      <c r="G55" s="27" t="s">
        <v>307</v>
      </c>
      <c r="H55" s="5" t="s">
        <v>293</v>
      </c>
      <c r="I55" s="8" t="s">
        <v>308</v>
      </c>
    </row>
    <row r="56" spans="1:9">
      <c r="A56" s="9" t="s">
        <v>270</v>
      </c>
      <c r="B56" s="14" t="s">
        <v>260</v>
      </c>
      <c r="C56" s="10" t="s">
        <v>271</v>
      </c>
      <c r="D56" s="11" t="s">
        <v>272</v>
      </c>
      <c r="E56" s="11" t="s">
        <v>273</v>
      </c>
      <c r="F56" s="11" t="s">
        <v>274</v>
      </c>
      <c r="G56" s="8" t="s">
        <v>298</v>
      </c>
      <c r="H56" s="5" t="s">
        <v>18</v>
      </c>
      <c r="I56" s="8"/>
    </row>
    <row r="57" spans="1:9">
      <c r="A57" s="5" t="s">
        <v>275</v>
      </c>
      <c r="B57" s="6" t="s">
        <v>276</v>
      </c>
      <c r="C57" s="6" t="s">
        <v>277</v>
      </c>
      <c r="D57" s="7" t="s">
        <v>278</v>
      </c>
      <c r="E57" s="7" t="s">
        <v>176</v>
      </c>
      <c r="F57" s="7" t="s">
        <v>279</v>
      </c>
      <c r="G57" s="8" t="s">
        <v>303</v>
      </c>
      <c r="H57" s="5" t="s">
        <v>293</v>
      </c>
      <c r="I57" s="8" t="s">
        <v>304</v>
      </c>
    </row>
    <row r="58" spans="1:9" ht="25.5">
      <c r="A58" s="9" t="s">
        <v>280</v>
      </c>
      <c r="B58" s="10" t="s">
        <v>276</v>
      </c>
      <c r="C58" s="14" t="s">
        <v>281</v>
      </c>
      <c r="D58" s="11" t="s">
        <v>267</v>
      </c>
      <c r="E58" s="11" t="s">
        <v>273</v>
      </c>
      <c r="F58" s="11" t="s">
        <v>282</v>
      </c>
      <c r="G58" s="8" t="s">
        <v>298</v>
      </c>
      <c r="H58" s="5" t="s">
        <v>18</v>
      </c>
      <c r="I58" s="8"/>
    </row>
    <row r="59" spans="1:9">
      <c r="A59" s="5" t="s">
        <v>283</v>
      </c>
      <c r="B59" s="6" t="s">
        <v>284</v>
      </c>
      <c r="C59" s="6" t="s">
        <v>285</v>
      </c>
      <c r="D59" s="7" t="s">
        <v>286</v>
      </c>
      <c r="E59" s="8" t="s">
        <v>287</v>
      </c>
      <c r="F59" s="8" t="s">
        <v>288</v>
      </c>
      <c r="G59" s="8" t="s">
        <v>298</v>
      </c>
      <c r="H59" s="5" t="s">
        <v>18</v>
      </c>
      <c r="I59" s="8"/>
    </row>
  </sheetData>
  <mergeCells count="2">
    <mergeCell ref="A1:I1"/>
    <mergeCell ref="A2:I2"/>
  </mergeCells>
  <phoneticPr fontId="16" type="noConversion"/>
  <dataValidations count="1">
    <dataValidation type="list" allowBlank="1" sqref="H4:H59">
      <formula1>"Pass,Fail,N/A,보류"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zoomScaleNormal="100" workbookViewId="0"/>
  </sheetViews>
  <sheetFormatPr defaultColWidth="8.7109375" defaultRowHeight="15"/>
  <cols>
    <col min="1" max="1" width="18" customWidth="1"/>
    <col min="2" max="2" width="12" customWidth="1"/>
    <col min="4" max="4" width="12" customWidth="1"/>
    <col min="5" max="5" width="8" customWidth="1"/>
  </cols>
  <sheetData>
    <row r="1" spans="1:5" ht="20.25">
      <c r="A1" s="15" t="s">
        <v>289</v>
      </c>
      <c r="D1" s="16" t="s">
        <v>290</v>
      </c>
    </row>
    <row r="2" spans="1:5">
      <c r="D2" s="17" t="s">
        <v>3</v>
      </c>
      <c r="E2" s="17" t="s">
        <v>291</v>
      </c>
    </row>
    <row r="3" spans="1:5">
      <c r="A3" s="17" t="s">
        <v>292</v>
      </c>
      <c r="B3" s="18">
        <f>COUNTA('테스트 케이스'!A5:A59)</f>
        <v>55</v>
      </c>
      <c r="D3" s="19" t="s">
        <v>21</v>
      </c>
      <c r="E3" s="19">
        <f>COUNTIF('테스트 케이스'!B5:B59,D3)</f>
        <v>5</v>
      </c>
    </row>
    <row r="4" spans="1:5">
      <c r="A4" s="20" t="s">
        <v>18</v>
      </c>
      <c r="B4" s="21">
        <f>COUNTIF('테스트 케이스'!H5:H59,"Pass")</f>
        <v>47</v>
      </c>
      <c r="D4" s="19" t="s">
        <v>45</v>
      </c>
      <c r="E4" s="19">
        <f>COUNTIF('테스트 케이스'!B5:B59,D4)</f>
        <v>2</v>
      </c>
    </row>
    <row r="5" spans="1:5">
      <c r="A5" s="20" t="s">
        <v>293</v>
      </c>
      <c r="B5" s="21">
        <f>COUNTIF('테스트 케이스'!H5:H59,"Fail")</f>
        <v>6</v>
      </c>
      <c r="D5" s="19" t="s">
        <v>12</v>
      </c>
      <c r="E5" s="19">
        <f>COUNTIF('테스트 케이스'!B5:B59,D5)</f>
        <v>6</v>
      </c>
    </row>
    <row r="6" spans="1:5">
      <c r="A6" s="20" t="s">
        <v>294</v>
      </c>
      <c r="B6" s="21">
        <f>COUNTIF('테스트 케이스'!H5:H59,"N/A")</f>
        <v>0</v>
      </c>
      <c r="D6" s="19" t="s">
        <v>84</v>
      </c>
      <c r="E6" s="19">
        <f>COUNTIF('테스트 케이스'!B5:B59,D6)</f>
        <v>5</v>
      </c>
    </row>
    <row r="7" spans="1:5">
      <c r="A7" s="22" t="s">
        <v>295</v>
      </c>
      <c r="B7" s="21">
        <f>COUNTIF('테스트 케이스'!H5:H59,"보류")</f>
        <v>1</v>
      </c>
      <c r="D7" s="19" t="s">
        <v>105</v>
      </c>
      <c r="E7" s="19">
        <f>COUNTIF('테스트 케이스'!B5:B59,D7)</f>
        <v>1</v>
      </c>
    </row>
    <row r="8" spans="1:5">
      <c r="A8" s="22" t="s">
        <v>296</v>
      </c>
      <c r="B8" s="21">
        <f>COUNTA('테스트 케이스'!A5:A59)-COUNTA('테스트 케이스'!H5:H59)</f>
        <v>1</v>
      </c>
      <c r="D8" s="19" t="s">
        <v>116</v>
      </c>
      <c r="E8" s="19">
        <f>COUNTIF('테스트 케이스'!B5:B59,D8)</f>
        <v>2</v>
      </c>
    </row>
    <row r="9" spans="1:5">
      <c r="D9" s="19" t="s">
        <v>126</v>
      </c>
      <c r="E9" s="19">
        <f>COUNTIF('테스트 케이스'!B5:B59,D9)</f>
        <v>1</v>
      </c>
    </row>
    <row r="10" spans="1:5">
      <c r="D10" s="23" t="s">
        <v>132</v>
      </c>
      <c r="E10" s="23">
        <f>COUNTIF('테스트 케이스'!B5:B59,D10)</f>
        <v>1</v>
      </c>
    </row>
    <row r="11" spans="1:5">
      <c r="A11" s="22" t="s">
        <v>297</v>
      </c>
      <c r="B11" s="24">
        <f>IF(B3=0,0,B4/B3)</f>
        <v>0.8545454545454545</v>
      </c>
      <c r="D11" s="19" t="s">
        <v>138</v>
      </c>
      <c r="E11" s="23">
        <f>COUNTIF('테스트 케이스'!B5:B59,D11)</f>
        <v>1</v>
      </c>
    </row>
    <row r="12" spans="1:5">
      <c r="D12" s="19" t="s">
        <v>139</v>
      </c>
      <c r="E12" s="23">
        <f>COUNTIF('테스트 케이스'!B5:B59,D12)</f>
        <v>2</v>
      </c>
    </row>
    <row r="13" spans="1:5">
      <c r="D13" s="19" t="s">
        <v>153</v>
      </c>
      <c r="E13" s="23">
        <f>COUNTIF('테스트 케이스'!B5:B59,D13)</f>
        <v>3</v>
      </c>
    </row>
    <row r="14" spans="1:5">
      <c r="D14" s="19" t="s">
        <v>168</v>
      </c>
      <c r="E14" s="23">
        <f>COUNTIF('테스트 케이스'!B5:B59,D14)</f>
        <v>16</v>
      </c>
    </row>
    <row r="15" spans="1:5">
      <c r="D15" s="19" t="s">
        <v>240</v>
      </c>
      <c r="E15" s="23">
        <f>COUNTIF('테스트 케이스'!B5:B59,D15)</f>
        <v>4</v>
      </c>
    </row>
    <row r="16" spans="1:5">
      <c r="D16" s="23" t="s">
        <v>260</v>
      </c>
      <c r="E16" s="23">
        <f>COUNTIF('테스트 케이스'!B5:B59,D16)</f>
        <v>3</v>
      </c>
    </row>
    <row r="17" spans="4:5">
      <c r="D17" s="19" t="s">
        <v>276</v>
      </c>
      <c r="E17" s="23">
        <f>COUNTIF('테스트 케이스'!B5:B59,D17)</f>
        <v>2</v>
      </c>
    </row>
    <row r="18" spans="4:5">
      <c r="D18" s="19" t="s">
        <v>284</v>
      </c>
      <c r="E18" s="23">
        <f>COUNTIF('테스트 케이스'!B5:B59,D18)</f>
        <v>1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테스트 케이스</vt:lpstr>
      <vt:lpstr>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김성재김성재</cp:lastModifiedBy>
  <cp:revision>0</cp:revision>
  <dcterms:created xsi:type="dcterms:W3CDTF">2026-09-04T11:38:47Z</dcterms:created>
  <dcterms:modified xsi:type="dcterms:W3CDTF">2026-09-06T10:36:36Z</dcterms:modified>
  <dc:language>en-US</dc:language>
</cp:coreProperties>
</file>